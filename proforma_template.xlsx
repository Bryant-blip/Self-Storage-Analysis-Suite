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9490" yWindow="-7830" windowWidth="27315" windowHeight="15780" tabRatio="600" firstSheet="0" activeTab="0" autoFilterDateGrouping="1"/>
  </bookViews>
  <sheets>
    <sheet name="Initial look proforma" sheetId="1" state="visible" r:id="rId1"/>
    <sheet name="Market Comps" sheetId="2" state="visible" r:id="rId2"/>
    <sheet name="Facility 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"/>
    <numFmt numFmtId="166" formatCode="&quot;$&quot;#,##0_);[Red]\(&quot;$&quot;#,##0\)"/>
    <numFmt numFmtId="167" formatCode="#,##0.0\ &quot;years&quot;"/>
    <numFmt numFmtId="168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A9D0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8" tint="0.599993896298104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3" fillId="0" borderId="0"/>
    <xf numFmtId="43" fontId="3" fillId="0" borderId="0"/>
    <xf numFmtId="44" fontId="3" fillId="0" borderId="0"/>
    <xf numFmtId="9" fontId="3" fillId="0" borderId="0"/>
    <xf numFmtId="0" fontId="4" fillId="0" borderId="0"/>
    <xf numFmtId="0" fontId="3" fillId="0" borderId="0"/>
  </cellStyleXfs>
  <cellXfs count="70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pivotButton="0" quotePrefix="0" xfId="0"/>
    <xf numFmtId="0" fontId="2" fillId="4" borderId="0" applyAlignment="1" pivotButton="0" quotePrefix="0" xfId="0">
      <alignment horizont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5" borderId="0" pivotButton="0" quotePrefix="0" xfId="0"/>
    <xf numFmtId="0" fontId="2" fillId="5" borderId="0" pivotButton="0" quotePrefix="0" xfId="0"/>
    <xf numFmtId="0" fontId="0" fillId="0" borderId="0" pivotButton="0" quotePrefix="0" xfId="0"/>
    <xf numFmtId="0" fontId="2" fillId="4" borderId="0" pivotButton="0" quotePrefix="0" xfId="0"/>
    <xf numFmtId="0" fontId="4" fillId="0" borderId="0" pivotButton="0" quotePrefix="0" xfId="4"/>
    <xf numFmtId="0" fontId="5" fillId="0" borderId="1" pivotButton="0" quotePrefix="0" xfId="5"/>
    <xf numFmtId="0" fontId="6" fillId="0" borderId="1" pivotButton="0" quotePrefix="0" xfId="5"/>
    <xf numFmtId="0" fontId="6" fillId="0" borderId="0" applyAlignment="1" pivotButton="0" quotePrefix="0" xfId="5">
      <alignment horizontal="left"/>
    </xf>
    <xf numFmtId="0" fontId="6" fillId="0" borderId="0" applyAlignment="1" pivotButton="0" quotePrefix="0" xfId="5">
      <alignment horizontal="center"/>
    </xf>
    <xf numFmtId="0" fontId="5" fillId="0" borderId="1" applyAlignment="1" pivotButton="0" quotePrefix="0" xfId="5">
      <alignment horizontal="left"/>
    </xf>
    <xf numFmtId="0" fontId="6" fillId="0" borderId="1" applyAlignment="1" pivotButton="0" quotePrefix="0" xfId="5">
      <alignment horizontal="center"/>
    </xf>
    <xf numFmtId="0" fontId="6" fillId="0" borderId="0" pivotButton="0" quotePrefix="0" xfId="5"/>
    <xf numFmtId="0" fontId="5" fillId="0" borderId="0" applyAlignment="1" pivotButton="0" quotePrefix="0" xfId="5">
      <alignment horizontal="left"/>
    </xf>
    <xf numFmtId="3" fontId="6" fillId="0" borderId="0" applyAlignment="1" pivotButton="0" quotePrefix="0" xfId="5">
      <alignment horizontal="center" wrapText="1"/>
    </xf>
    <xf numFmtId="0" fontId="6" fillId="6" borderId="0" applyAlignment="1" pivotButton="0" quotePrefix="0" xfId="5">
      <alignment horizontal="left"/>
    </xf>
    <xf numFmtId="9" fontId="6" fillId="0" borderId="0" applyAlignment="1" pivotButton="0" quotePrefix="0" xfId="5">
      <alignment horizontal="center"/>
    </xf>
    <xf numFmtId="164" fontId="6" fillId="0" borderId="0" applyAlignment="1" pivotButton="0" quotePrefix="0" xfId="2">
      <alignment horizontal="center"/>
    </xf>
    <xf numFmtId="165" fontId="0" fillId="0" borderId="0" applyAlignment="1" pivotButton="0" quotePrefix="0" xfId="2">
      <alignment horizontal="left"/>
    </xf>
    <xf numFmtId="166" fontId="6" fillId="0" borderId="0" applyAlignment="1" pivotButton="0" quotePrefix="0" xfId="5">
      <alignment horizontal="center" wrapText="1"/>
    </xf>
    <xf numFmtId="3" fontId="0" fillId="0" borderId="0" applyAlignment="1" pivotButton="0" quotePrefix="0" xfId="1">
      <alignment horizontal="left"/>
    </xf>
    <xf numFmtId="164" fontId="6" fillId="0" borderId="0" applyAlignment="1" pivotButton="0" quotePrefix="0" xfId="2">
      <alignment horizontal="center"/>
    </xf>
    <xf numFmtId="0" fontId="6" fillId="0" borderId="1" applyAlignment="1" pivotButton="0" quotePrefix="0" xfId="5">
      <alignment horizontal="left"/>
    </xf>
    <xf numFmtId="166" fontId="5" fillId="0" borderId="0" applyAlignment="1" pivotButton="0" quotePrefix="0" xfId="5">
      <alignment horizontal="center" wrapText="1"/>
    </xf>
    <xf numFmtId="166" fontId="6" fillId="0" borderId="0" applyAlignment="1" pivotButton="0" quotePrefix="0" xfId="5">
      <alignment horizontal="center"/>
    </xf>
    <xf numFmtId="0" fontId="6" fillId="0" borderId="0" applyAlignment="1" pivotButton="0" quotePrefix="0" xfId="5">
      <alignment horizontal="center" wrapText="1"/>
    </xf>
    <xf numFmtId="0" fontId="5" fillId="7" borderId="2" applyAlignment="1" pivotButton="0" quotePrefix="0" xfId="5">
      <alignment horizontal="left"/>
    </xf>
    <xf numFmtId="166" fontId="5" fillId="7" borderId="3" applyAlignment="1" pivotButton="0" quotePrefix="0" xfId="5">
      <alignment horizontal="center"/>
    </xf>
    <xf numFmtId="9" fontId="5" fillId="7" borderId="2" applyAlignment="1" pivotButton="0" quotePrefix="0" xfId="3">
      <alignment horizontal="left" vertical="top"/>
    </xf>
    <xf numFmtId="167" fontId="5" fillId="7" borderId="3" applyAlignment="1" pivotButton="0" quotePrefix="0" xfId="5">
      <alignment horizontal="center"/>
    </xf>
    <xf numFmtId="0" fontId="5" fillId="7" borderId="2" applyAlignment="1" pivotButton="0" quotePrefix="0" xfId="5">
      <alignment horizontal="left" vertical="top"/>
    </xf>
    <xf numFmtId="168" fontId="5" fillId="7" borderId="3" applyAlignment="1" pivotButton="0" quotePrefix="0" xfId="5">
      <alignment horizontal="center"/>
    </xf>
    <xf numFmtId="0" fontId="5" fillId="0" borderId="0" pivotButton="0" quotePrefix="0" xfId="5"/>
    <xf numFmtId="0" fontId="6" fillId="0" borderId="4" pivotButton="0" quotePrefix="0" xfId="5"/>
    <xf numFmtId="0" fontId="6" fillId="0" borderId="4" pivotButton="0" quotePrefix="0" xfId="0"/>
    <xf numFmtId="0" fontId="0" fillId="0" borderId="4" pivotButton="0" quotePrefix="0" xfId="0"/>
    <xf numFmtId="0" fontId="6" fillId="0" borderId="4" applyAlignment="1" pivotButton="0" quotePrefix="0" xfId="5">
      <alignment horizontal="left"/>
    </xf>
    <xf numFmtId="0" fontId="0" fillId="0" borderId="0" pivotButton="0" quotePrefix="0" xfId="0"/>
    <xf numFmtId="0" fontId="6" fillId="0" borderId="0" applyAlignment="1" pivotButton="0" quotePrefix="0" xfId="5">
      <alignment horizontal="left"/>
    </xf>
    <xf numFmtId="3" fontId="6" fillId="0" borderId="0" applyAlignment="1" pivotButton="0" quotePrefix="0" xfId="5">
      <alignment horizontal="center" wrapText="1"/>
    </xf>
    <xf numFmtId="0" fontId="0" fillId="0" borderId="0" pivotButton="0" quotePrefix="0" xfId="0"/>
    <xf numFmtId="166" fontId="6" fillId="0" borderId="0" applyAlignment="1" pivotButton="0" quotePrefix="0" xfId="5">
      <alignment horizontal="center" wrapText="1"/>
    </xf>
    <xf numFmtId="166" fontId="6" fillId="0" borderId="1" applyAlignment="1" pivotButton="0" quotePrefix="0" xfId="5">
      <alignment horizontal="center" wrapText="1"/>
    </xf>
    <xf numFmtId="166" fontId="5" fillId="0" borderId="0" applyAlignment="1" pivotButton="0" quotePrefix="0" xfId="5">
      <alignment horizontal="center" wrapText="1"/>
    </xf>
    <xf numFmtId="0" fontId="6" fillId="0" borderId="0" applyAlignment="1" pivotButton="0" quotePrefix="0" xfId="5">
      <alignment horizontal="center"/>
    </xf>
    <xf numFmtId="166" fontId="6" fillId="0" borderId="0" applyAlignment="1" pivotButton="0" quotePrefix="0" xfId="5">
      <alignment horizontal="center"/>
    </xf>
    <xf numFmtId="0" fontId="7" fillId="8" borderId="5" pivotButton="0" quotePrefix="0" xfId="5"/>
    <xf numFmtId="164" fontId="6" fillId="8" borderId="0" applyAlignment="1" pivotButton="0" quotePrefix="0" xfId="5">
      <alignment horizontal="center"/>
    </xf>
    <xf numFmtId="10" fontId="6" fillId="8" borderId="0" applyAlignment="1" pivotButton="0" quotePrefix="0" xfId="5">
      <alignment horizontal="center" wrapText="1"/>
    </xf>
    <xf numFmtId="10" fontId="6" fillId="8" borderId="1" applyAlignment="1" pivotButton="0" quotePrefix="0" xfId="5">
      <alignment horizontal="center" wrapText="1"/>
    </xf>
    <xf numFmtId="164" fontId="6" fillId="8" borderId="0" applyAlignment="1" pivotButton="0" quotePrefix="0" xfId="5">
      <alignment horizontal="center" wrapText="1"/>
    </xf>
    <xf numFmtId="9" fontId="6" fillId="8" borderId="0" applyAlignment="1" pivotButton="0" quotePrefix="0" xfId="5">
      <alignment horizontal="center" wrapText="1"/>
    </xf>
    <xf numFmtId="0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166" fontId="6" fillId="0" borderId="0" applyAlignment="1" pivotButton="0" quotePrefix="0" xfId="5">
      <alignment horizontal="center" wrapText="1"/>
    </xf>
    <xf numFmtId="166" fontId="6" fillId="0" borderId="1" applyAlignment="1" pivotButton="0" quotePrefix="0" xfId="5">
      <alignment horizontal="center" wrapText="1"/>
    </xf>
    <xf numFmtId="166" fontId="5" fillId="0" borderId="0" applyAlignment="1" pivotButton="0" quotePrefix="0" xfId="5">
      <alignment horizontal="center" wrapText="1"/>
    </xf>
    <xf numFmtId="166" fontId="6" fillId="0" borderId="0" applyAlignment="1" pivotButton="0" quotePrefix="0" xfId="5">
      <alignment horizontal="center"/>
    </xf>
    <xf numFmtId="166" fontId="5" fillId="7" borderId="3" applyAlignment="1" pivotButton="0" quotePrefix="0" xfId="5">
      <alignment horizontal="center"/>
    </xf>
    <xf numFmtId="167" fontId="5" fillId="7" borderId="3" applyAlignment="1" pivotButton="0" quotePrefix="0" xfId="5">
      <alignment horizontal="center"/>
    </xf>
    <xf numFmtId="168" fontId="5" fillId="7" borderId="3" applyAlignment="1" pivotButton="0" quotePrefix="0" xfId="5">
      <alignment horizontal="center"/>
    </xf>
  </cellXfs>
  <cellStyles count="6">
    <cellStyle name="Normal" xfId="0" builtinId="0"/>
    <cellStyle name="Comma" xfId="1" builtinId="3"/>
    <cellStyle name="Currency" xfId="2" builtinId="4"/>
    <cellStyle name="Percent" xfId="3" builtinId="5"/>
    <cellStyle name="Hyperlink 2" xfId="4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publicstorage.com/self-storage-az-avondale/6076.html?pspid=pslocalsearch&amp;utm_source=google&amp;utm_medium=local_maps" TargetMode="External" Id="rId1" /><Relationship Type="http://schemas.openxmlformats.org/officeDocument/2006/relationships/hyperlink" Target="https://www.extraspace.com/storage/facilities/us/arizona/tolleson/1000001326/?cid=org::maps&amp;utm_source=google&amp;utm_medium=organic&amp;utm_campaign=org::maps" TargetMode="External" Id="rId2" /><Relationship Type="http://schemas.openxmlformats.org/officeDocument/2006/relationships/hyperlink" Target="https://www.advantagestorage.net/storage-locations/az/avondale/1101-s-avondale-blvd/?utm_source=google&amp;utm_medium=Yext" TargetMode="External" Id="rId3" /><Relationship Type="http://schemas.openxmlformats.org/officeDocument/2006/relationships/hyperlink" Target="http://mesacold.com/" TargetMode="External" Id="rId4" /><Relationship Type="http://schemas.openxmlformats.org/officeDocument/2006/relationships/hyperlink" Target="https://www.trojanstorage.com/self-storage/az/tolleson/9620-w-van-buren-st/" TargetMode="External" Id="rId5" /><Relationship Type="http://schemas.openxmlformats.org/officeDocument/2006/relationships/hyperlink" Target="https://totalstoragesolutions.com/storage-locations/arizona/avondale-storage-units/12100-w-van-buren-st/?utm_source=gbplistings&amp;utm_medium=organic&amp;utm_campaign=L005" TargetMode="External" Id="rId6" /><Relationship Type="http://schemas.openxmlformats.org/officeDocument/2006/relationships/hyperlink" Target="http://www.american-self-storage.com/avondale/" TargetMode="External" Id="rId7" /><Relationship Type="http://schemas.openxmlformats.org/officeDocument/2006/relationships/hyperlink" Target="https://www.cubesmart.com/arizona-self-storage/phoenix-self-storage/4497.html?utm_source=google&amp;utm_medium=gmb&amp;utm_campaign=gmb-listings" TargetMode="External" Id="rId8" /><Relationship Type="http://schemas.openxmlformats.org/officeDocument/2006/relationships/hyperlink" Target="https://www.extraspace.com/storage/facilities/us/arizona/tolleson/6354/?cid=org::maps&amp;utm_source=google&amp;utm_medium=organic&amp;utm_campaign=org::maps" TargetMode="External" Id="rId9" /><Relationship Type="http://schemas.openxmlformats.org/officeDocument/2006/relationships/hyperlink" Target="https://www.storage-solutions.org/storage/arizona/storage-units-avondale/1429-N-Eliseo-C-Felix-Jr-Way-121?utm_source=google&amp;utm_medium=local&amp;utm_content=121&amp;utm_campaign=localmaps" TargetMode="External" Id="rId10" /><Relationship Type="http://schemas.openxmlformats.org/officeDocument/2006/relationships/hyperlink" Target="https://www.storamericastorage.com/storage/storamerica-avondale/" TargetMode="External" Id="rId11" /><Relationship Type="http://schemas.openxmlformats.org/officeDocument/2006/relationships/hyperlink" Target="https://www.cubework.com/locations/facility/cubework-tolleson" TargetMode="External" Id="rId12" /><Relationship Type="http://schemas.openxmlformats.org/officeDocument/2006/relationships/hyperlink" Target="https://www.storage-solutions.org/storage/arizona/storage-units-avondale/1327-N-Dysart-Road-155?utm_source=google&amp;utm_medium=local&amp;utm_content=155&amp;utm_campaign=localmaps" TargetMode="External" Id="rId13" /><Relationship Type="http://schemas.openxmlformats.org/officeDocument/2006/relationships/hyperlink" Target="https://www.storagespotaz.com/" TargetMode="External" Id="rId14" /><Relationship Type="http://schemas.openxmlformats.org/officeDocument/2006/relationships/hyperlink" Target="https://www.nsastorage.com/storage/arizona/storage-units-goodyear/13246-W-McDowell-Rd-831?utm_source=google&amp;utm_medium=local&amp;utm_content=831&amp;utm_campaign=localmaps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2"/>
  <sheetViews>
    <sheetView tabSelected="1" workbookViewId="0">
      <selection activeCell="C38" sqref="C38"/>
    </sheetView>
  </sheetViews>
  <sheetFormatPr baseColWidth="8" defaultRowHeight="15"/>
  <cols>
    <col width="10.7109375" customWidth="1" style="48" min="1" max="1"/>
    <col width="19.85546875" customWidth="1" style="48" min="2" max="2"/>
    <col width="18.42578125" bestFit="1" customWidth="1" style="48" min="3" max="3"/>
    <col width="21.28515625" customWidth="1" style="48" min="4" max="4"/>
    <col width="10.7109375" customWidth="1" style="48" min="5" max="6"/>
    <col width="46.42578125" bestFit="1" customWidth="1" style="48" min="7" max="7"/>
    <col width="17.140625" customWidth="1" style="48" min="8" max="8"/>
  </cols>
  <sheetData>
    <row r="2">
      <c r="B2" s="14" t="n"/>
      <c r="C2" s="15" t="n"/>
      <c r="D2" s="46" t="n"/>
      <c r="E2" s="52" t="n"/>
    </row>
    <row r="3">
      <c r="B3" s="40" t="inlineStr"/>
      <c r="D3" s="46" t="n"/>
      <c r="E3" s="52" t="n"/>
      <c r="G3" s="18" t="inlineStr">
        <is>
          <t>First Pass Analysis</t>
        </is>
      </c>
      <c r="H3" s="19" t="n"/>
    </row>
    <row r="4">
      <c r="B4" s="14" t="inlineStr">
        <is>
          <t>Property Overview</t>
        </is>
      </c>
      <c r="C4" s="30" t="n"/>
      <c r="D4" s="54" t="inlineStr">
        <is>
          <t>Assumptions</t>
        </is>
      </c>
      <c r="E4" s="19" t="n"/>
      <c r="G4" s="21" t="n"/>
      <c r="H4" s="52" t="n"/>
    </row>
    <row r="5">
      <c r="B5" s="20" t="inlineStr">
        <is>
          <t>Acres</t>
        </is>
      </c>
      <c r="C5" s="46" t="n"/>
      <c r="D5" s="41" t="inlineStr">
        <is>
          <t>yield of total Sqft</t>
        </is>
      </c>
      <c r="E5" s="24" t="n">
        <v>0.3</v>
      </c>
      <c r="G5" s="46" t="inlineStr">
        <is>
          <t xml:space="preserve">Total Land Sqft </t>
        </is>
      </c>
      <c r="H5" s="47">
        <f>C5*43560</f>
        <v/>
      </c>
    </row>
    <row r="6">
      <c r="B6" s="20" t="inlineStr">
        <is>
          <t>cost of land</t>
        </is>
      </c>
      <c r="C6" s="26" t="n"/>
      <c r="D6" s="42" t="inlineStr">
        <is>
          <t>Rent Per Sqft</t>
        </is>
      </c>
      <c r="E6" s="29" t="n"/>
      <c r="G6" s="46" t="inlineStr">
        <is>
          <t>Yield % to rentable sqft</t>
        </is>
      </c>
      <c r="H6" s="59">
        <f>E5</f>
        <v/>
      </c>
    </row>
    <row r="7">
      <c r="B7" s="20" t="inlineStr">
        <is>
          <t>Total sqft</t>
        </is>
      </c>
      <c r="C7" s="28">
        <f>C5*43560</f>
        <v/>
      </c>
      <c r="D7" s="43" t="inlineStr">
        <is>
          <t>occupancy rate</t>
        </is>
      </c>
      <c r="E7" s="24" t="n">
        <v>0.9</v>
      </c>
      <c r="G7" s="46" t="inlineStr">
        <is>
          <t>Net Rentable sq ft:</t>
        </is>
      </c>
      <c r="H7" s="47">
        <f>H5*H6</f>
        <v/>
      </c>
    </row>
    <row r="8">
      <c r="D8" s="44" t="inlineStr">
        <is>
          <t>Expense ratio</t>
        </is>
      </c>
      <c r="E8" s="24" t="n">
        <v>0.25</v>
      </c>
    </row>
    <row r="9">
      <c r="B9" s="20" t="n"/>
      <c r="C9" s="20" t="n"/>
      <c r="D9" s="44" t="inlineStr">
        <is>
          <t>Cap Rate</t>
        </is>
      </c>
      <c r="E9" s="24" t="n">
        <v>0.07000000000000001</v>
      </c>
      <c r="G9" s="23" t="inlineStr">
        <is>
          <t>Rent Per Sqft</t>
        </is>
      </c>
      <c r="H9" s="55">
        <f>E6</f>
        <v/>
      </c>
    </row>
    <row r="10">
      <c r="B10" s="20" t="n"/>
      <c r="C10" s="20" t="n"/>
      <c r="D10" s="43" t="inlineStr">
        <is>
          <t>Cost to build per SqFt</t>
        </is>
      </c>
      <c r="E10" s="29" t="n">
        <v>50</v>
      </c>
      <c r="G10" s="46" t="inlineStr">
        <is>
          <t>Occupancy Rate</t>
        </is>
      </c>
      <c r="H10" s="56">
        <f>E7</f>
        <v/>
      </c>
    </row>
    <row r="11">
      <c r="B11" s="20" t="n"/>
      <c r="C11" s="26" t="n"/>
      <c r="G11" s="46" t="inlineStr">
        <is>
          <t>Rented sq ft</t>
        </is>
      </c>
      <c r="H11" s="47">
        <f>H10*H7</f>
        <v/>
      </c>
    </row>
    <row r="12">
      <c r="B12" s="20" t="n"/>
      <c r="C12" s="28" t="n"/>
      <c r="E12" s="24" t="n"/>
      <c r="G12" s="46" t="inlineStr">
        <is>
          <t>Monthly Gross Revenue</t>
        </is>
      </c>
      <c r="H12" s="63">
        <f>H11*H9</f>
        <v/>
      </c>
    </row>
    <row r="13">
      <c r="D13" s="46" t="n"/>
      <c r="E13" s="24" t="n"/>
      <c r="G13" s="46" t="n"/>
      <c r="H13" s="63" t="n"/>
    </row>
    <row r="14">
      <c r="B14" s="20" t="n"/>
      <c r="C14" s="20" t="n"/>
      <c r="E14" s="29" t="n"/>
      <c r="G14" s="46" t="inlineStr">
        <is>
          <t>Expense ratio</t>
        </is>
      </c>
      <c r="H14" s="56">
        <f>E8</f>
        <v/>
      </c>
    </row>
    <row r="15">
      <c r="B15" s="20" t="n"/>
      <c r="C15" s="20" t="n"/>
      <c r="D15" s="46" t="n"/>
      <c r="E15" s="24" t="n"/>
      <c r="G15" s="30" t="inlineStr">
        <is>
          <t>Monthly Expenses</t>
        </is>
      </c>
      <c r="H15" s="64">
        <f>H12*H14</f>
        <v/>
      </c>
    </row>
    <row r="16">
      <c r="B16" s="20" t="n"/>
      <c r="C16" s="20" t="n"/>
      <c r="G16" s="21" t="inlineStr">
        <is>
          <t>MONTHLY NOI</t>
        </is>
      </c>
      <c r="H16" s="65">
        <f>H12-H15</f>
        <v/>
      </c>
    </row>
    <row r="17">
      <c r="B17" s="20" t="n"/>
      <c r="C17" s="20" t="n"/>
      <c r="G17" s="46" t="n"/>
      <c r="H17" s="52" t="n"/>
    </row>
    <row r="18">
      <c r="B18" s="20" t="n"/>
      <c r="C18" s="20" t="n"/>
      <c r="G18" s="46" t="inlineStr">
        <is>
          <t>Annual NOI</t>
        </is>
      </c>
      <c r="H18" s="66">
        <f>H16*12</f>
        <v/>
      </c>
    </row>
    <row r="19">
      <c r="B19" s="20" t="n"/>
      <c r="C19" s="20" t="n"/>
      <c r="G19" s="30" t="inlineStr">
        <is>
          <t>Cap Rate</t>
        </is>
      </c>
      <c r="H19" s="57">
        <f>E9</f>
        <v/>
      </c>
    </row>
    <row r="20">
      <c r="B20" s="20" t="n"/>
      <c r="C20" s="20" t="n"/>
      <c r="G20" s="46" t="inlineStr">
        <is>
          <t>Valuation</t>
        </is>
      </c>
      <c r="H20" s="66">
        <f>H18/H19</f>
        <v/>
      </c>
    </row>
    <row r="21">
      <c r="B21" s="20" t="n"/>
      <c r="C21" s="20" t="n"/>
      <c r="G21" s="46" t="n"/>
      <c r="H21" s="52" t="n"/>
    </row>
    <row r="22">
      <c r="B22" s="20" t="n"/>
      <c r="C22" s="20" t="n"/>
      <c r="G22" s="23" t="inlineStr">
        <is>
          <t>Cost to Build Per Sqft</t>
        </is>
      </c>
      <c r="H22" s="58">
        <f>E10</f>
        <v/>
      </c>
    </row>
    <row r="23">
      <c r="B23" s="20" t="n"/>
      <c r="C23" s="20" t="n"/>
      <c r="G23" s="46" t="inlineStr">
        <is>
          <t>Construction Costs</t>
        </is>
      </c>
      <c r="H23" s="66">
        <f>H22*H7</f>
        <v/>
      </c>
    </row>
    <row r="24">
      <c r="B24" s="20" t="n"/>
      <c r="C24" s="20" t="n"/>
      <c r="G24" s="30" t="inlineStr">
        <is>
          <t xml:space="preserve">Cost of Land </t>
        </is>
      </c>
      <c r="H24" s="64">
        <f>C6</f>
        <v/>
      </c>
    </row>
    <row r="25">
      <c r="B25" s="20" t="n"/>
      <c r="C25" s="20" t="n"/>
      <c r="G25" s="21" t="inlineStr">
        <is>
          <t>TOTAL COST TO BUILD</t>
        </is>
      </c>
      <c r="H25" s="65">
        <f>H23+H24</f>
        <v/>
      </c>
    </row>
    <row r="26">
      <c r="B26" s="20" t="n"/>
      <c r="C26" s="20" t="n"/>
      <c r="G26" s="46" t="n"/>
      <c r="H26" s="33" t="n"/>
    </row>
    <row r="27">
      <c r="B27" s="20" t="n"/>
      <c r="C27" s="20" t="n"/>
      <c r="G27" s="46" t="inlineStr">
        <is>
          <t>Property Value</t>
        </is>
      </c>
      <c r="H27" s="63">
        <f>H20</f>
        <v/>
      </c>
    </row>
    <row r="28">
      <c r="B28" s="20" t="n"/>
      <c r="C28" s="20" t="n"/>
      <c r="G28" s="46" t="inlineStr">
        <is>
          <t>Less: Cost to Build</t>
        </is>
      </c>
      <c r="H28" s="63">
        <f>H25</f>
        <v/>
      </c>
    </row>
    <row r="29">
      <c r="B29" s="20" t="n"/>
      <c r="C29" s="20" t="n"/>
      <c r="G29" s="34" t="inlineStr">
        <is>
          <t>EQUITY VALUE</t>
        </is>
      </c>
      <c r="H29" s="67">
        <f>H27-H28</f>
        <v/>
      </c>
    </row>
    <row r="30">
      <c r="B30" s="20" t="n"/>
      <c r="C30" s="20" t="n"/>
      <c r="G30" s="46" t="n"/>
      <c r="H30" s="52" t="n"/>
    </row>
    <row r="31">
      <c r="B31" s="20" t="n"/>
      <c r="C31" s="20" t="n"/>
      <c r="G31" s="36" t="inlineStr">
        <is>
          <t>Payback Period (Cost to Build/NOI at stabilization)</t>
        </is>
      </c>
      <c r="H31" s="68">
        <f>H25/H18</f>
        <v/>
      </c>
    </row>
    <row r="32">
      <c r="B32" s="20" t="n"/>
      <c r="C32" s="20" t="n"/>
      <c r="G32" s="46" t="n"/>
      <c r="H32" s="66" t="n"/>
    </row>
    <row r="33">
      <c r="B33" s="20" t="n"/>
      <c r="C33" s="20" t="n"/>
      <c r="G33" s="38" t="inlineStr">
        <is>
          <t>Yield to Cost</t>
        </is>
      </c>
      <c r="H33" s="69">
        <f>H18/H25</f>
        <v/>
      </c>
    </row>
    <row r="34">
      <c r="B34" s="20" t="n"/>
      <c r="C34" s="20" t="n"/>
    </row>
    <row r="35">
      <c r="B35" s="20" t="n"/>
      <c r="C35" s="20" t="n"/>
    </row>
    <row r="36">
      <c r="B36" s="20" t="n"/>
      <c r="C36" s="20" t="n"/>
    </row>
    <row r="37">
      <c r="B37" s="20" t="n"/>
      <c r="C37" s="20" t="n"/>
    </row>
    <row r="38">
      <c r="B38" s="20" t="n"/>
      <c r="C38" s="20" t="n"/>
    </row>
    <row r="39">
      <c r="B39" s="20" t="n"/>
      <c r="C39" s="20" t="n"/>
    </row>
    <row r="40">
      <c r="B40" s="20" t="n"/>
      <c r="C40" s="20" t="n"/>
    </row>
    <row r="41">
      <c r="B41" s="20" t="n"/>
      <c r="C41" s="20" t="n"/>
    </row>
    <row r="42">
      <c r="B42" s="20" t="n"/>
      <c r="C42" s="20" t="n"/>
      <c r="D42" s="46" t="n"/>
      <c r="E42" s="5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W55"/>
  <sheetViews>
    <sheetView topLeftCell="A25" zoomScale="80" zoomScaleNormal="80" workbookViewId="0">
      <selection activeCell="E56" sqref="E56"/>
    </sheetView>
  </sheetViews>
  <sheetFormatPr baseColWidth="8" defaultRowHeight="15"/>
  <cols>
    <col width="1.85546875" customWidth="1" style="48" min="1" max="1"/>
    <col width="27" customWidth="1" style="48" min="2" max="2"/>
    <col width="8" customWidth="1" style="48" min="3" max="3"/>
    <col width="24.7109375" customWidth="1" style="48" min="4" max="13"/>
    <col width="16" customWidth="1" style="48" min="14" max="14"/>
    <col width="21" customWidth="1" style="48" min="15" max="15"/>
    <col width="19" customWidth="1" style="48" min="16" max="16"/>
    <col width="28" customWidth="1" style="48" min="17" max="17"/>
    <col width="29" customWidth="1" style="48" min="18" max="18"/>
    <col width="24" customWidth="1" style="48" min="19" max="19"/>
    <col width="21" customWidth="1" style="48" min="20" max="20"/>
    <col width="32" customWidth="1" style="48" min="21" max="21"/>
    <col width="26" customWidth="1" style="48" min="22" max="22"/>
    <col width="25" customWidth="1" style="48" min="23" max="23"/>
  </cols>
  <sheetData>
    <row r="1" ht="8.25" customHeight="1" s="48"/>
    <row r="2">
      <c r="B2" s="10" t="inlineStr">
        <is>
          <t>DRIVE-UP / STANDARD UNITS</t>
        </is>
      </c>
      <c r="L2" s="6" t="n"/>
    </row>
    <row r="3">
      <c r="B3" s="6" t="inlineStr">
        <is>
          <t>In-Store Rates</t>
        </is>
      </c>
      <c r="L3" s="6" t="n"/>
    </row>
    <row r="4" ht="30" customHeight="1" s="48">
      <c r="B4" s="6" t="inlineStr">
        <is>
          <t>Sq Ft</t>
        </is>
      </c>
      <c r="C4" s="6" t="inlineStr">
        <is>
          <t>Size</t>
        </is>
      </c>
      <c r="D4" s="8" t="inlineStr">
        <is>
          <t>Public Storage</t>
        </is>
      </c>
      <c r="E4" s="8" t="inlineStr">
        <is>
          <t>Advantage Storage</t>
        </is>
      </c>
      <c r="F4" s="8" t="inlineStr">
        <is>
          <t>Trojan Storage of Tolleson</t>
        </is>
      </c>
      <c r="G4" s="8" t="inlineStr">
        <is>
          <t>River Crossing Self Storage</t>
        </is>
      </c>
      <c r="H4" s="8" t="inlineStr">
        <is>
          <t>CubeSmart Self Storage</t>
        </is>
      </c>
      <c r="I4" s="8" t="inlineStr">
        <is>
          <t>Rio Estrella Storage Solutions</t>
        </is>
      </c>
      <c r="J4" s="8" t="inlineStr">
        <is>
          <t>Agua Fria Mini Storage Solutions</t>
        </is>
      </c>
      <c r="L4" s="6" t="n"/>
      <c r="M4" s="6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</row>
    <row r="5">
      <c r="B5" t="n">
        <v>25</v>
      </c>
      <c r="C5" t="inlineStr">
        <is>
          <t>5x5</t>
        </is>
      </c>
      <c r="E5" s="1" t="n">
        <v>31</v>
      </c>
      <c r="G5" s="1" t="n">
        <v>43</v>
      </c>
      <c r="N5" s="1" t="n"/>
      <c r="O5" s="1" t="n"/>
      <c r="P5" s="1" t="n"/>
      <c r="Q5" s="1" t="n"/>
      <c r="R5" s="1" t="n"/>
      <c r="S5" s="1" t="n"/>
      <c r="T5" s="1" t="n"/>
      <c r="W5" s="1" t="n"/>
    </row>
    <row r="6">
      <c r="B6" t="n">
        <v>50</v>
      </c>
      <c r="C6" t="inlineStr">
        <is>
          <t>5x10</t>
        </is>
      </c>
      <c r="E6" s="1" t="n">
        <v>64</v>
      </c>
      <c r="F6" s="1" t="n">
        <v>50</v>
      </c>
      <c r="G6" s="1" t="n">
        <v>65</v>
      </c>
      <c r="H6" s="1" t="n">
        <v>132.84</v>
      </c>
      <c r="N6" s="1" t="n"/>
      <c r="O6" s="1" t="n"/>
      <c r="P6" s="1" t="n"/>
      <c r="Q6" s="1" t="n"/>
      <c r="R6" s="1" t="n"/>
      <c r="S6" s="1" t="n"/>
      <c r="T6" s="1" t="n"/>
      <c r="V6" s="1" t="n"/>
      <c r="W6" s="1" t="n"/>
    </row>
    <row r="7">
      <c r="B7" t="n">
        <v>100</v>
      </c>
      <c r="C7" t="inlineStr">
        <is>
          <t>10x10</t>
        </is>
      </c>
      <c r="D7" s="1" t="n">
        <v>142</v>
      </c>
      <c r="E7" s="1" t="n">
        <v>95</v>
      </c>
      <c r="F7" s="1" t="n">
        <v>120</v>
      </c>
      <c r="G7" s="1" t="n">
        <v>99</v>
      </c>
      <c r="H7" s="1" t="n">
        <v>150.17</v>
      </c>
      <c r="N7" s="1" t="n"/>
      <c r="O7" s="1" t="n"/>
      <c r="P7" s="1" t="n"/>
      <c r="Q7" s="1" t="n"/>
      <c r="R7" s="1" t="n"/>
      <c r="S7" s="1" t="n"/>
      <c r="T7" s="1" t="n"/>
      <c r="W7" s="1" t="n"/>
    </row>
    <row r="8">
      <c r="B8" t="n">
        <v>150</v>
      </c>
      <c r="C8" t="inlineStr">
        <is>
          <t>10x15</t>
        </is>
      </c>
      <c r="D8" s="1" t="n">
        <v>151</v>
      </c>
      <c r="E8" s="1" t="n">
        <v>126</v>
      </c>
      <c r="F8" s="1" t="n">
        <v>140</v>
      </c>
      <c r="G8" s="1" t="n">
        <v>135</v>
      </c>
      <c r="H8" s="1" t="n">
        <v>151</v>
      </c>
      <c r="N8" s="1" t="n"/>
      <c r="O8" s="1" t="n"/>
      <c r="P8" s="1" t="n"/>
      <c r="Q8" s="1" t="n"/>
      <c r="R8" s="1" t="n"/>
      <c r="T8" s="1" t="n"/>
      <c r="W8" s="1" t="n"/>
    </row>
    <row r="9">
      <c r="B9" t="n">
        <v>200</v>
      </c>
      <c r="C9" t="inlineStr">
        <is>
          <t>10x20</t>
        </is>
      </c>
      <c r="D9" s="1" t="n">
        <v>215</v>
      </c>
      <c r="F9" s="1" t="n">
        <v>180</v>
      </c>
      <c r="H9" s="1" t="n">
        <v>228</v>
      </c>
      <c r="O9" s="1" t="n"/>
      <c r="P9" s="1" t="n"/>
      <c r="Q9" s="1" t="n"/>
      <c r="R9" s="1" t="n"/>
      <c r="T9" s="1" t="n"/>
      <c r="W9" s="1" t="n"/>
    </row>
    <row r="11">
      <c r="B11" s="6" t="inlineStr">
        <is>
          <t>Online (Discounted) Rates</t>
        </is>
      </c>
      <c r="L11" s="6" t="n"/>
    </row>
    <row r="12" ht="30" customHeight="1" s="48">
      <c r="B12" s="6" t="inlineStr">
        <is>
          <t>Sq Ft</t>
        </is>
      </c>
      <c r="C12" s="6" t="inlineStr">
        <is>
          <t>Size</t>
        </is>
      </c>
      <c r="D12" s="8" t="inlineStr">
        <is>
          <t>Public Storage</t>
        </is>
      </c>
      <c r="E12" s="8" t="inlineStr">
        <is>
          <t>Advantage Storage</t>
        </is>
      </c>
      <c r="F12" s="8" t="inlineStr">
        <is>
          <t>Trojan Storage of Tolleson</t>
        </is>
      </c>
      <c r="G12" s="8" t="inlineStr">
        <is>
          <t>River Crossing Self Storage</t>
        </is>
      </c>
      <c r="H12" s="8" t="inlineStr">
        <is>
          <t>CubeSmart Self Storage</t>
        </is>
      </c>
      <c r="I12" s="8" t="inlineStr">
        <is>
          <t>Rio Estrella Storage Solutions</t>
        </is>
      </c>
      <c r="J12" s="8" t="inlineStr">
        <is>
          <t>Agua Fria Mini Storage Solutions</t>
        </is>
      </c>
      <c r="L12" s="6" t="n"/>
      <c r="M12" s="6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>
      <c r="B13" t="n">
        <v>25</v>
      </c>
      <c r="C13" t="inlineStr">
        <is>
          <t>5x5</t>
        </is>
      </c>
      <c r="E13" s="1" t="n">
        <v>24</v>
      </c>
      <c r="G13" s="1" t="n">
        <v>22</v>
      </c>
      <c r="J13" s="1" t="n">
        <v>18</v>
      </c>
      <c r="N13" s="1" t="n"/>
      <c r="O13" s="1" t="n"/>
      <c r="P13" s="1" t="n"/>
      <c r="Q13" s="1" t="n"/>
      <c r="R13" s="1" t="n"/>
      <c r="S13" s="1" t="n"/>
      <c r="T13" s="1" t="n"/>
      <c r="U13" s="1" t="n"/>
      <c r="W13" s="1" t="n"/>
    </row>
    <row r="14">
      <c r="B14" t="n">
        <v>50</v>
      </c>
      <c r="C14" t="inlineStr">
        <is>
          <t>5x10</t>
        </is>
      </c>
      <c r="E14" s="1" t="n">
        <v>49</v>
      </c>
      <c r="F14" s="1" t="n">
        <v>25</v>
      </c>
      <c r="G14" s="1" t="n">
        <v>33</v>
      </c>
      <c r="H14" s="1" t="n">
        <v>79.7</v>
      </c>
      <c r="J14" s="1" t="n">
        <v>22</v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>
      <c r="B15" t="n">
        <v>100</v>
      </c>
      <c r="C15" t="inlineStr">
        <is>
          <t>10x10</t>
        </is>
      </c>
      <c r="D15" s="1" t="n">
        <v>114</v>
      </c>
      <c r="E15" s="1" t="n">
        <v>73</v>
      </c>
      <c r="F15" s="1" t="n">
        <v>60</v>
      </c>
      <c r="G15" s="1" t="n">
        <v>50</v>
      </c>
      <c r="H15" s="1" t="n">
        <v>90.09999999999999</v>
      </c>
      <c r="J15" s="1" t="n">
        <v>75</v>
      </c>
      <c r="N15" s="1" t="n"/>
      <c r="O15" s="1" t="n"/>
      <c r="P15" s="1" t="n"/>
      <c r="Q15" s="1" t="n"/>
      <c r="R15" s="1" t="n"/>
      <c r="S15" s="1" t="n"/>
      <c r="T15" s="1" t="n"/>
      <c r="U15" s="1" t="n"/>
      <c r="W15" s="1" t="n"/>
    </row>
    <row r="16">
      <c r="B16" t="n">
        <v>150</v>
      </c>
      <c r="C16" t="inlineStr">
        <is>
          <t>10x15</t>
        </is>
      </c>
      <c r="D16" s="1" t="n">
        <v>121</v>
      </c>
      <c r="E16" s="1" t="n">
        <v>97</v>
      </c>
      <c r="F16" s="1" t="n">
        <v>70</v>
      </c>
      <c r="G16" s="1" t="n">
        <v>68</v>
      </c>
      <c r="H16" s="1" t="n">
        <v>113.25</v>
      </c>
      <c r="I16" s="1" t="n">
        <v>117</v>
      </c>
      <c r="J16" s="1" t="n">
        <v>114</v>
      </c>
      <c r="N16" s="1" t="n"/>
      <c r="O16" s="1" t="n"/>
      <c r="P16" s="1" t="n"/>
      <c r="Q16" s="1" t="n"/>
      <c r="R16" s="1" t="n"/>
      <c r="T16" s="1" t="n"/>
      <c r="W16" s="1" t="n"/>
    </row>
    <row r="17">
      <c r="B17" t="n">
        <v>200</v>
      </c>
      <c r="C17" t="inlineStr">
        <is>
          <t>10x20</t>
        </is>
      </c>
      <c r="D17" s="1" t="n">
        <v>172</v>
      </c>
      <c r="F17" s="1" t="n">
        <v>90</v>
      </c>
      <c r="G17" s="1" t="n">
        <v>155</v>
      </c>
      <c r="H17" s="1" t="n">
        <v>171</v>
      </c>
      <c r="J17" s="1" t="n">
        <v>299</v>
      </c>
      <c r="O17" s="1" t="n"/>
      <c r="P17" s="1" t="n"/>
      <c r="Q17" s="1" t="n"/>
      <c r="R17" s="1" t="n"/>
      <c r="T17" s="1" t="n"/>
      <c r="U17" s="1" t="n"/>
      <c r="W17" s="1" t="n"/>
    </row>
    <row r="20">
      <c r="B20" s="12" t="inlineStr">
        <is>
          <t>CLIMATE CONTROLLED UNITS</t>
        </is>
      </c>
    </row>
    <row r="21">
      <c r="B21" s="6" t="inlineStr">
        <is>
          <t>In-Store Rates</t>
        </is>
      </c>
    </row>
    <row r="22" ht="30" customHeight="1" s="48">
      <c r="B22" s="6" t="inlineStr">
        <is>
          <t>Sq Ft</t>
        </is>
      </c>
      <c r="C22" s="6" t="inlineStr">
        <is>
          <t>Size</t>
        </is>
      </c>
      <c r="D22" s="5" t="inlineStr">
        <is>
          <t>Public Storage</t>
        </is>
      </c>
      <c r="E22" s="5" t="inlineStr">
        <is>
          <t>Extra Space Storage</t>
        </is>
      </c>
      <c r="F22" s="5" t="inlineStr">
        <is>
          <t>Advantage Storage</t>
        </is>
      </c>
      <c r="G22" s="5" t="inlineStr">
        <is>
          <t>Trojan Storage of Tolleson</t>
        </is>
      </c>
      <c r="H22" s="5" t="inlineStr">
        <is>
          <t>River Crossing Self Storage</t>
        </is>
      </c>
      <c r="I22" s="5" t="inlineStr">
        <is>
          <t>CubeSmart Self Storage</t>
        </is>
      </c>
      <c r="J22" s="5" t="inlineStr">
        <is>
          <t>Extra Space Storage</t>
        </is>
      </c>
      <c r="K22" s="5" t="inlineStr">
        <is>
          <t>Rio Estrella Storage Solutions</t>
        </is>
      </c>
      <c r="L22" s="5" t="inlineStr">
        <is>
          <t>StorAmerica Self Storage</t>
        </is>
      </c>
      <c r="M22" s="5" t="inlineStr">
        <is>
          <t>RightSpace Self Storage</t>
        </is>
      </c>
    </row>
    <row r="23">
      <c r="B23" t="n">
        <v>25</v>
      </c>
      <c r="C23" t="inlineStr">
        <is>
          <t>5x5</t>
        </is>
      </c>
      <c r="D23" s="1" t="n">
        <v>52</v>
      </c>
      <c r="E23" s="1" t="n">
        <v>41</v>
      </c>
      <c r="F23" s="1" t="n">
        <v>60</v>
      </c>
      <c r="G23" s="1" t="n">
        <v>25</v>
      </c>
      <c r="H23" s="1" t="n">
        <v>47</v>
      </c>
      <c r="I23" s="1" t="n">
        <v>62.24</v>
      </c>
      <c r="J23" s="1" t="n">
        <v>22</v>
      </c>
      <c r="M23" s="1" t="n">
        <v>31</v>
      </c>
    </row>
    <row r="24">
      <c r="B24" t="n">
        <v>50</v>
      </c>
      <c r="C24" t="inlineStr">
        <is>
          <t>5x10</t>
        </is>
      </c>
      <c r="D24" s="1" t="n">
        <v>70</v>
      </c>
      <c r="E24" s="1" t="n">
        <v>73</v>
      </c>
      <c r="F24" s="1" t="n">
        <v>70</v>
      </c>
      <c r="G24" s="1" t="n">
        <v>40</v>
      </c>
      <c r="H24" s="1" t="n">
        <v>49</v>
      </c>
      <c r="I24" s="1" t="n">
        <v>70.95</v>
      </c>
      <c r="J24" s="1" t="n">
        <v>39</v>
      </c>
      <c r="L24" s="1" t="n">
        <v>77</v>
      </c>
      <c r="M24" s="1" t="n">
        <v>45</v>
      </c>
    </row>
    <row r="25">
      <c r="B25" t="n">
        <v>100</v>
      </c>
      <c r="C25" t="inlineStr">
        <is>
          <t>10x10</t>
        </is>
      </c>
      <c r="D25" s="1" t="n">
        <v>147</v>
      </c>
      <c r="E25" s="1" t="n">
        <v>135</v>
      </c>
      <c r="F25" s="1" t="n">
        <v>121</v>
      </c>
      <c r="G25" s="1" t="n">
        <v>100</v>
      </c>
      <c r="H25" s="1" t="n">
        <v>90</v>
      </c>
      <c r="I25" s="1" t="n">
        <v>154.02</v>
      </c>
      <c r="J25" s="1" t="n">
        <v>70</v>
      </c>
      <c r="M25" s="1" t="n">
        <v>87</v>
      </c>
    </row>
    <row r="26">
      <c r="B26" t="n">
        <v>150</v>
      </c>
      <c r="C26" t="inlineStr">
        <is>
          <t>10x15</t>
        </is>
      </c>
      <c r="D26" s="1" t="n">
        <v>209</v>
      </c>
      <c r="E26" s="1" t="n">
        <v>182</v>
      </c>
      <c r="F26" s="1" t="n">
        <v>155</v>
      </c>
      <c r="G26" s="1" t="n">
        <v>120</v>
      </c>
      <c r="H26" s="1" t="n">
        <v>120</v>
      </c>
      <c r="J26" s="1" t="n">
        <v>100</v>
      </c>
      <c r="M26" s="1" t="n">
        <v>151</v>
      </c>
    </row>
    <row r="27">
      <c r="B27" t="n">
        <v>200</v>
      </c>
      <c r="C27" t="inlineStr">
        <is>
          <t>10x20</t>
        </is>
      </c>
      <c r="E27" s="1" t="n">
        <v>272</v>
      </c>
      <c r="F27" s="1" t="n">
        <v>220</v>
      </c>
      <c r="G27" s="1" t="n">
        <v>190</v>
      </c>
      <c r="H27" s="1" t="n">
        <v>159</v>
      </c>
      <c r="J27" s="1" t="n">
        <v>111</v>
      </c>
      <c r="M27" s="1" t="n">
        <v>151</v>
      </c>
    </row>
    <row r="29">
      <c r="B29" s="6" t="inlineStr">
        <is>
          <t>Online (Discounted) Rates</t>
        </is>
      </c>
    </row>
    <row r="30" ht="30" customHeight="1" s="48">
      <c r="B30" s="6" t="inlineStr">
        <is>
          <t>Sq Ft</t>
        </is>
      </c>
      <c r="C30" s="6" t="inlineStr">
        <is>
          <t>Size</t>
        </is>
      </c>
      <c r="D30" s="5" t="inlineStr">
        <is>
          <t>Public Storage</t>
        </is>
      </c>
      <c r="E30" s="5" t="inlineStr">
        <is>
          <t>Extra Space Storage</t>
        </is>
      </c>
      <c r="F30" s="5" t="inlineStr">
        <is>
          <t>Advantage Storage</t>
        </is>
      </c>
      <c r="G30" s="5" t="inlineStr">
        <is>
          <t>Trojan Storage of Tolleson</t>
        </is>
      </c>
      <c r="H30" s="5" t="inlineStr">
        <is>
          <t>River Crossing Self Storage</t>
        </is>
      </c>
      <c r="I30" s="5" t="inlineStr">
        <is>
          <t>CubeSmart Self Storage</t>
        </is>
      </c>
      <c r="J30" s="5" t="inlineStr">
        <is>
          <t>Extra Space Storage</t>
        </is>
      </c>
      <c r="K30" s="5" t="inlineStr">
        <is>
          <t>Rio Estrella Storage Solutions</t>
        </is>
      </c>
      <c r="L30" s="5" t="inlineStr">
        <is>
          <t>StorAmerica Self Storage</t>
        </is>
      </c>
      <c r="M30" s="5" t="inlineStr">
        <is>
          <t>RightSpace Self Storage</t>
        </is>
      </c>
    </row>
    <row r="31">
      <c r="B31" t="n">
        <v>25</v>
      </c>
      <c r="C31" t="inlineStr">
        <is>
          <t>5x5</t>
        </is>
      </c>
      <c r="D31" s="1" t="n">
        <v>42</v>
      </c>
      <c r="E31" s="1" t="n">
        <v>24</v>
      </c>
      <c r="F31" s="1" t="n">
        <v>46</v>
      </c>
      <c r="G31" s="1" t="n">
        <v>12.5</v>
      </c>
      <c r="H31" s="1" t="n">
        <v>24</v>
      </c>
      <c r="I31" s="1" t="n">
        <v>37.34</v>
      </c>
      <c r="J31" s="1" t="n">
        <v>16</v>
      </c>
      <c r="K31" s="1" t="n">
        <v>25</v>
      </c>
      <c r="M31" s="1" t="n">
        <v>20</v>
      </c>
    </row>
    <row r="32">
      <c r="B32" t="n">
        <v>50</v>
      </c>
      <c r="C32" t="inlineStr">
        <is>
          <t>5x10</t>
        </is>
      </c>
      <c r="D32" s="1" t="n">
        <v>56</v>
      </c>
      <c r="E32" s="1" t="n">
        <v>42</v>
      </c>
      <c r="F32" s="1" t="n">
        <v>54</v>
      </c>
      <c r="G32" s="1" t="n">
        <v>20</v>
      </c>
      <c r="H32" s="1" t="n">
        <v>25</v>
      </c>
      <c r="I32" s="1" t="n">
        <v>42.57</v>
      </c>
      <c r="J32" s="1" t="n">
        <v>28</v>
      </c>
      <c r="K32" s="1" t="n">
        <v>50</v>
      </c>
      <c r="L32" s="1" t="n">
        <v>39</v>
      </c>
      <c r="M32" s="1" t="n">
        <v>29</v>
      </c>
    </row>
    <row r="33">
      <c r="B33" t="n">
        <v>100</v>
      </c>
      <c r="C33" t="inlineStr">
        <is>
          <t>10x10</t>
        </is>
      </c>
      <c r="D33" s="1" t="n">
        <v>118</v>
      </c>
      <c r="E33" s="1" t="n">
        <v>83</v>
      </c>
      <c r="F33" s="1" t="n">
        <v>93</v>
      </c>
      <c r="G33" s="1" t="n">
        <v>50</v>
      </c>
      <c r="H33" s="1" t="n">
        <v>45</v>
      </c>
      <c r="I33" s="1" t="n">
        <v>115.52</v>
      </c>
      <c r="J33" s="1" t="n">
        <v>50</v>
      </c>
      <c r="K33" s="1" t="n">
        <v>59</v>
      </c>
      <c r="M33" s="1" t="n">
        <v>56</v>
      </c>
    </row>
    <row r="34">
      <c r="B34" t="n">
        <v>150</v>
      </c>
      <c r="C34" t="inlineStr">
        <is>
          <t>10x15</t>
        </is>
      </c>
      <c r="D34" s="1" t="n">
        <v>167</v>
      </c>
      <c r="E34" s="1" t="n">
        <v>111</v>
      </c>
      <c r="F34" s="1" t="n">
        <v>119</v>
      </c>
      <c r="G34" s="1" t="n">
        <v>60</v>
      </c>
      <c r="H34" s="1" t="n">
        <v>60</v>
      </c>
      <c r="J34" s="1" t="n">
        <v>71</v>
      </c>
      <c r="M34" s="1" t="n">
        <v>98</v>
      </c>
    </row>
    <row r="35">
      <c r="B35" t="n">
        <v>200</v>
      </c>
      <c r="C35" t="inlineStr">
        <is>
          <t>10x20</t>
        </is>
      </c>
      <c r="E35" s="1" t="n">
        <v>175</v>
      </c>
      <c r="F35" s="1" t="n">
        <v>169</v>
      </c>
      <c r="G35" s="1" t="n">
        <v>95</v>
      </c>
      <c r="H35" s="1" t="n">
        <v>80</v>
      </c>
      <c r="J35" s="1" t="n">
        <v>79</v>
      </c>
      <c r="K35" s="1" t="n">
        <v>200</v>
      </c>
      <c r="M35" s="1" t="n">
        <v>98</v>
      </c>
    </row>
    <row r="39">
      <c r="D39" s="4" t="inlineStr">
        <is>
          <t>Drive-Up Units</t>
        </is>
      </c>
      <c r="E39" s="4" t="inlineStr">
        <is>
          <t>In-Store rates</t>
        </is>
      </c>
      <c r="G39" s="4" t="inlineStr">
        <is>
          <t>Drive-Up Units</t>
        </is>
      </c>
      <c r="H39" s="4" t="inlineStr">
        <is>
          <t>Online rates (discounted)</t>
        </is>
      </c>
    </row>
    <row r="40">
      <c r="E40" s="2" t="inlineStr">
        <is>
          <t>average cost per SqFt</t>
        </is>
      </c>
      <c r="H40" s="2" t="inlineStr">
        <is>
          <t>average cost per SqFt</t>
        </is>
      </c>
    </row>
    <row r="41">
      <c r="D41" s="2" t="inlineStr">
        <is>
          <t>5x5</t>
        </is>
      </c>
      <c r="E41" s="61">
        <f>AVERAGE(D5:H5)/B5</f>
        <v/>
      </c>
      <c r="G41" s="2" t="inlineStr">
        <is>
          <t>5x5</t>
        </is>
      </c>
      <c r="H41" s="61">
        <f>AVERAGE(D13:J13)/B13</f>
        <v/>
      </c>
    </row>
    <row r="42">
      <c r="D42" s="2" t="inlineStr">
        <is>
          <t>5x10</t>
        </is>
      </c>
      <c r="E42" s="61">
        <f>AVERAGE(D6:H6)/B6</f>
        <v/>
      </c>
      <c r="G42" s="2" t="inlineStr">
        <is>
          <t>5x10</t>
        </is>
      </c>
      <c r="H42" s="61">
        <f>AVERAGE(D14:J14)/B14</f>
        <v/>
      </c>
    </row>
    <row r="43">
      <c r="D43" s="2" t="inlineStr">
        <is>
          <t>10x10</t>
        </is>
      </c>
      <c r="E43" s="61">
        <f>AVERAGE(D7:H7)/B7</f>
        <v/>
      </c>
      <c r="G43" s="2" t="inlineStr">
        <is>
          <t>10x10</t>
        </is>
      </c>
      <c r="H43" s="61">
        <f>AVERAGE(D15:J15)/B15</f>
        <v/>
      </c>
    </row>
    <row r="44">
      <c r="D44" s="2" t="inlineStr">
        <is>
          <t>10x15</t>
        </is>
      </c>
      <c r="E44" s="61">
        <f>AVERAGE(D8:H8)/B8</f>
        <v/>
      </c>
      <c r="G44" s="2" t="inlineStr">
        <is>
          <t>10x15</t>
        </is>
      </c>
      <c r="H44" s="61">
        <f>AVERAGE(D16:J16)/B16</f>
        <v/>
      </c>
    </row>
    <row r="45">
      <c r="D45" s="2" t="inlineStr">
        <is>
          <t>10x20</t>
        </is>
      </c>
      <c r="E45" s="61">
        <f>AVERAGE(D9:H9)/B9</f>
        <v/>
      </c>
      <c r="G45" s="2" t="inlineStr">
        <is>
          <t>10x20</t>
        </is>
      </c>
      <c r="H45" s="61">
        <f>AVERAGE(D17:J17)/B17</f>
        <v/>
      </c>
    </row>
    <row r="46">
      <c r="D46" s="2" t="inlineStr">
        <is>
          <t>total average</t>
        </is>
      </c>
      <c r="E46" s="62">
        <f>AVERAGE(E41:E45)</f>
        <v/>
      </c>
      <c r="G46" s="2" t="n"/>
      <c r="H46" s="61" t="n"/>
    </row>
    <row r="47">
      <c r="D47" s="2" t="n"/>
    </row>
    <row r="48">
      <c r="D48" s="60" t="inlineStr">
        <is>
          <t>Climate controlled</t>
        </is>
      </c>
      <c r="E48" s="3" t="inlineStr">
        <is>
          <t>In-Store rates</t>
        </is>
      </c>
      <c r="G48" s="3" t="inlineStr">
        <is>
          <t>Climate controlled Units</t>
        </is>
      </c>
      <c r="H48" s="3" t="inlineStr">
        <is>
          <t>Online rates (discounted)</t>
        </is>
      </c>
    </row>
    <row r="49">
      <c r="D49" s="2" t="n"/>
      <c r="E49" s="2" t="inlineStr">
        <is>
          <t>average cost per SqFt</t>
        </is>
      </c>
      <c r="H49" s="2" t="inlineStr">
        <is>
          <t>average cost per SqFt</t>
        </is>
      </c>
    </row>
    <row r="50">
      <c r="D50" s="2" t="inlineStr">
        <is>
          <t>5x5</t>
        </is>
      </c>
      <c r="E50" s="61">
        <f>AVERAGE(D23:M23)/B23</f>
        <v/>
      </c>
      <c r="G50" s="2" t="inlineStr">
        <is>
          <t>5x5</t>
        </is>
      </c>
      <c r="H50" s="61">
        <f>AVERAGE(D31:M31)/B31</f>
        <v/>
      </c>
    </row>
    <row r="51">
      <c r="D51" s="2" t="inlineStr">
        <is>
          <t>5x10</t>
        </is>
      </c>
      <c r="E51" s="61">
        <f>AVERAGE(D24:M24)/B24</f>
        <v/>
      </c>
      <c r="G51" s="2" t="inlineStr">
        <is>
          <t>5x10</t>
        </is>
      </c>
      <c r="H51" s="61">
        <f>AVERAGE(D32:M32)/B32</f>
        <v/>
      </c>
    </row>
    <row r="52">
      <c r="D52" s="2" t="inlineStr">
        <is>
          <t>10x10</t>
        </is>
      </c>
      <c r="E52" s="61">
        <f>AVERAGE(D25:M25)/B25</f>
        <v/>
      </c>
      <c r="G52" s="2" t="inlineStr">
        <is>
          <t>10x10</t>
        </is>
      </c>
      <c r="H52" s="61">
        <f>AVERAGE(D33:M33)/B33</f>
        <v/>
      </c>
    </row>
    <row r="53">
      <c r="D53" s="2" t="inlineStr">
        <is>
          <t>10x15</t>
        </is>
      </c>
      <c r="E53" s="61">
        <f>AVERAGE(D26:M26)/B26</f>
        <v/>
      </c>
      <c r="G53" s="2" t="inlineStr">
        <is>
          <t>10x15</t>
        </is>
      </c>
      <c r="H53" s="61">
        <f>AVERAGE(D34:M34)/B34</f>
        <v/>
      </c>
    </row>
    <row r="54">
      <c r="D54" s="2" t="inlineStr">
        <is>
          <t>10x20</t>
        </is>
      </c>
      <c r="E54" s="61">
        <f>AVERAGE(D27:M27)/B27</f>
        <v/>
      </c>
      <c r="G54" s="2" t="inlineStr">
        <is>
          <t>10x20</t>
        </is>
      </c>
      <c r="H54" s="61">
        <f>AVERAGE(D35:M35)/B35</f>
        <v/>
      </c>
    </row>
    <row r="55">
      <c r="D55" s="2" t="inlineStr">
        <is>
          <t>total average</t>
        </is>
      </c>
      <c r="E55" s="1">
        <f>AVERAGE(E50:E54)</f>
        <v/>
      </c>
      <c r="G55" s="2" t="n"/>
    </row>
  </sheetData>
  <mergeCells count="2">
    <mergeCell ref="B20:M20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23" sqref="A23"/>
    </sheetView>
  </sheetViews>
  <sheetFormatPr baseColWidth="8" defaultRowHeight="15"/>
  <cols>
    <col width="34" customWidth="1" style="48" min="1" max="1"/>
    <col width="53" customWidth="1" style="48" min="2" max="2"/>
    <col width="15" customWidth="1" style="48" min="3" max="3"/>
    <col width="18" customWidth="1" style="48" min="4" max="4"/>
    <col width="16" customWidth="1" style="48" min="5" max="5"/>
    <col width="55" customWidth="1" style="48" min="6" max="6"/>
  </cols>
  <sheetData>
    <row r="1">
      <c r="A1" s="10" t="inlineStr">
        <is>
          <t>Facility Name</t>
        </is>
      </c>
      <c r="B1" s="10" t="inlineStr">
        <is>
          <t>Address</t>
        </is>
      </c>
      <c r="C1" s="10" t="inlineStr">
        <is>
          <t>Distance (mi)</t>
        </is>
      </c>
      <c r="D1" s="10" t="inlineStr">
        <is>
          <t>Drive Time (min)</t>
        </is>
      </c>
      <c r="E1" s="10" t="inlineStr">
        <is>
          <t>Phone</t>
        </is>
      </c>
      <c r="F1" s="10" t="inlineStr">
        <is>
          <t>Website</t>
        </is>
      </c>
    </row>
    <row r="2" ht="15.75" customHeight="1" s="48">
      <c r="A2" t="inlineStr">
        <is>
          <t>Public Storage</t>
        </is>
      </c>
      <c r="B2" t="inlineStr">
        <is>
          <t>2655 S Avondale Blvd, Avondale, AZ 85323, USA</t>
        </is>
      </c>
      <c r="C2" t="n">
        <v>0.87</v>
      </c>
      <c r="D2" t="n">
        <v>2</v>
      </c>
      <c r="E2" t="inlineStr">
        <is>
          <t>(602) 946-0044</t>
        </is>
      </c>
      <c r="F2" s="13" t="inlineStr">
        <is>
          <t>https://www.publicstorage.com/self-storage-az-avondale/6076.html?pspid=pslocalsearch&amp;utm_source=google&amp;utm_medium=local_maps</t>
        </is>
      </c>
    </row>
    <row r="3" ht="15.75" customHeight="1" s="48">
      <c r="A3" t="inlineStr">
        <is>
          <t>Extra Space Storage</t>
        </is>
      </c>
      <c r="B3" t="inlineStr">
        <is>
          <t>2650 S 99th Ave, Tolleson, AZ 85353, USA</t>
        </is>
      </c>
      <c r="C3" t="n">
        <v>0.88</v>
      </c>
      <c r="D3" t="n">
        <v>2</v>
      </c>
      <c r="E3" t="inlineStr">
        <is>
          <t>(623) 289-1792</t>
        </is>
      </c>
      <c r="F3" s="13" t="inlineStr">
        <is>
          <t>https://www.extraspace.com/storage/facilities/us/arizona/tolleson/1000001326/?cid=org::maps&amp;utm_source=google&amp;utm_medium=organic&amp;utm_campaign=org::maps</t>
        </is>
      </c>
    </row>
    <row r="4" ht="15.75" customHeight="1" s="48">
      <c r="A4" t="inlineStr">
        <is>
          <t>Advantage Storage</t>
        </is>
      </c>
      <c r="B4" t="inlineStr">
        <is>
          <t>1101 S Avondale Blvd, Avondale, AZ 85323, USA</t>
        </is>
      </c>
      <c r="C4" t="n">
        <v>1.43</v>
      </c>
      <c r="D4" t="n">
        <v>3</v>
      </c>
      <c r="E4" t="inlineStr">
        <is>
          <t>(623) 907-9565</t>
        </is>
      </c>
      <c r="F4" s="13" t="inlineStr">
        <is>
          <t>https://www.advantagestorage.net/storage-locations/az/avondale/1101-s-avondale-blvd/?utm_source=google&amp;utm_medium=Yext</t>
        </is>
      </c>
    </row>
    <row r="5" ht="15.75" customHeight="1" s="48">
      <c r="A5" t="inlineStr">
        <is>
          <t>Mesa Cold Storage</t>
        </is>
      </c>
      <c r="B5" t="inlineStr">
        <is>
          <t>9602 W Buckeye Rd, Tolleson, AZ 85353, USA</t>
        </is>
      </c>
      <c r="C5" t="n">
        <v>1.81</v>
      </c>
      <c r="D5" t="n">
        <v>4</v>
      </c>
      <c r="E5" t="inlineStr">
        <is>
          <t>(623) 478-9392</t>
        </is>
      </c>
      <c r="F5" s="13" t="inlineStr">
        <is>
          <t>http://mesacold.com/</t>
        </is>
      </c>
    </row>
    <row r="6" ht="15.75" customHeight="1" s="48">
      <c r="A6" t="inlineStr">
        <is>
          <t>Trojan Storage of Tolleson</t>
        </is>
      </c>
      <c r="B6" t="inlineStr">
        <is>
          <t>9620 W Van Buren St, Tolleson, AZ 85353, USA</t>
        </is>
      </c>
      <c r="C6" t="n">
        <v>2.43</v>
      </c>
      <c r="D6" t="n">
        <v>6</v>
      </c>
      <c r="E6" t="inlineStr">
        <is>
          <t>(623) 299-2110</t>
        </is>
      </c>
      <c r="F6" s="13" t="inlineStr">
        <is>
          <t>https://www.trojanstorage.com/self-storage/az/tolleson/9620-w-van-buren-st/</t>
        </is>
      </c>
    </row>
    <row r="7" ht="15.75" customHeight="1" s="48">
      <c r="A7" t="inlineStr">
        <is>
          <t>River Crossing Self Storage</t>
        </is>
      </c>
      <c r="B7" t="inlineStr">
        <is>
          <t>12100 W Van Buren St, Avondale, AZ 85323, USA</t>
        </is>
      </c>
      <c r="C7" t="n">
        <v>2.67</v>
      </c>
      <c r="D7" t="n">
        <v>6</v>
      </c>
      <c r="E7" t="inlineStr">
        <is>
          <t>(623) 925-5675</t>
        </is>
      </c>
      <c r="F7" s="13" t="inlineStr">
        <is>
          <t>https://totalstoragesolutions.com/storage-locations/arizona/avondale-storage-units/12100-w-van-buren-st/?utm_source=gbplistings&amp;utm_medium=organic&amp;utm_campaign=L005</t>
        </is>
      </c>
    </row>
    <row r="8" ht="15.75" customHeight="1" s="48">
      <c r="A8" t="inlineStr">
        <is>
          <t>American Mini Storage</t>
        </is>
      </c>
      <c r="B8" t="inlineStr">
        <is>
          <t>10400 W McDowell Rd, Avondale, AZ 85392, USA</t>
        </is>
      </c>
      <c r="C8" t="n">
        <v>3.06</v>
      </c>
      <c r="D8" t="n">
        <v>7</v>
      </c>
      <c r="E8" t="inlineStr">
        <is>
          <t>(623) 936-8466</t>
        </is>
      </c>
      <c r="F8" s="13" t="inlineStr">
        <is>
          <t>http://www.american-self-storage.com/avondale/</t>
        </is>
      </c>
    </row>
    <row r="9" ht="15.75" customHeight="1" s="48">
      <c r="A9" t="inlineStr">
        <is>
          <t>CubeSmart Self Storage</t>
        </is>
      </c>
      <c r="B9" t="inlineStr">
        <is>
          <t>8230 W Lower Buckeye Rd, Phoenix, AZ 85043, USA</t>
        </is>
      </c>
      <c r="C9" t="n">
        <v>3.07</v>
      </c>
      <c r="D9" t="n">
        <v>7</v>
      </c>
      <c r="E9" t="inlineStr">
        <is>
          <t>(623) 277-5713</t>
        </is>
      </c>
      <c r="F9" s="13" t="inlineStr">
        <is>
          <t>https://www.cubesmart.com/arizona-self-storage/phoenix-self-storage/4497.html?utm_source=google&amp;utm_medium=gmb&amp;utm_campaign=gmb-listings</t>
        </is>
      </c>
    </row>
    <row r="10" ht="15.75" customHeight="1" s="48">
      <c r="A10" t="inlineStr">
        <is>
          <t>Extra Space Storage</t>
        </is>
      </c>
      <c r="B10" t="inlineStr">
        <is>
          <t>1400 S 83rd Ave, Tolleson, AZ 85353, USA</t>
        </is>
      </c>
      <c r="C10" t="n">
        <v>3.08</v>
      </c>
      <c r="D10" t="n">
        <v>7</v>
      </c>
      <c r="E10" t="inlineStr">
        <is>
          <t>(520) 442-0842</t>
        </is>
      </c>
      <c r="F10" s="13" t="inlineStr">
        <is>
          <t>https://www.extraspace.com/storage/facilities/us/arizona/tolleson/6354/?cid=org::maps&amp;utm_source=google&amp;utm_medium=organic&amp;utm_campaign=org::maps</t>
        </is>
      </c>
    </row>
    <row r="11">
      <c r="A11" t="inlineStr">
        <is>
          <t>Avondale Storage</t>
        </is>
      </c>
      <c r="B11" t="inlineStr">
        <is>
          <t>710 E Western Ave, Avondale, AZ 85323, USA</t>
        </is>
      </c>
      <c r="C11" t="n">
        <v>3.21</v>
      </c>
      <c r="D11" t="n">
        <v>8</v>
      </c>
      <c r="E11" t="inlineStr">
        <is>
          <t>(623) 925-2555</t>
        </is>
      </c>
      <c r="F11" t="inlineStr">
        <is>
          <t>No website</t>
        </is>
      </c>
    </row>
    <row r="12" ht="15.75" customHeight="1" s="48">
      <c r="A12" t="inlineStr">
        <is>
          <t>Rio Estrella Storage Solutions</t>
        </is>
      </c>
      <c r="B12" t="inlineStr">
        <is>
          <t>1429 N Eliseo Felix Jr Way, Avondale, AZ 85323, USA</t>
        </is>
      </c>
      <c r="C12" t="n">
        <v>3.31</v>
      </c>
      <c r="D12" t="n">
        <v>8</v>
      </c>
      <c r="E12" t="inlineStr">
        <is>
          <t>(623) 304-4463</t>
        </is>
      </c>
      <c r="F12" s="13" t="inlineStr">
        <is>
          <t>https://www.storage-solutions.org/storage/arizona/storage-units-avondale/1429-N-Eliseo-C-Felix-Jr-Way-121?utm_source=google&amp;utm_medium=local&amp;utm_content=121&amp;utm_campaign=localmaps</t>
        </is>
      </c>
    </row>
    <row r="13" ht="15.75" customHeight="1" s="48">
      <c r="A13" t="inlineStr">
        <is>
          <t>StorAmerica Self Storage</t>
        </is>
      </c>
      <c r="B13" t="inlineStr">
        <is>
          <t>11890 W McDowell Rd, Avondale, AZ 85392, USA</t>
        </is>
      </c>
      <c r="C13" t="n">
        <v>3.36</v>
      </c>
      <c r="D13" t="n">
        <v>8</v>
      </c>
      <c r="E13" t="inlineStr">
        <is>
          <t>(623) 400-8001</t>
        </is>
      </c>
      <c r="F13" s="13" t="inlineStr">
        <is>
          <t>https://www.storamericastorage.com/storage/storamerica-avondale/</t>
        </is>
      </c>
    </row>
    <row r="14" ht="15.75" customHeight="1" s="48">
      <c r="A14" t="inlineStr">
        <is>
          <t>Cubework</t>
        </is>
      </c>
      <c r="B14" t="inlineStr">
        <is>
          <t>120 N 83rd Ave suite 100, Tolleson, AZ 85353, USA</t>
        </is>
      </c>
      <c r="C14" t="n">
        <v>3.46</v>
      </c>
      <c r="D14" t="n">
        <v>8</v>
      </c>
      <c r="E14" t="inlineStr">
        <is>
          <t>(800) 338-6369</t>
        </is>
      </c>
      <c r="F14" s="13" t="inlineStr">
        <is>
          <t>https://www.cubework.com/locations/facility/cubework-tolleson</t>
        </is>
      </c>
    </row>
    <row r="15" ht="15.75" customHeight="1" s="48">
      <c r="A15" t="inlineStr">
        <is>
          <t>Agua Fria Mini Storage Solutions</t>
        </is>
      </c>
      <c r="B15" t="inlineStr">
        <is>
          <t>1327 N Dysart Rd, Avondale, AZ 85323, USA</t>
        </is>
      </c>
      <c r="C15" t="n">
        <v>3.5</v>
      </c>
      <c r="D15" t="n">
        <v>8</v>
      </c>
      <c r="E15" t="inlineStr">
        <is>
          <t>(623) 432-0819</t>
        </is>
      </c>
      <c r="F15" s="13" t="inlineStr">
        <is>
          <t>https://www.storage-solutions.org/storage/arizona/storage-units-avondale/1327-N-Dysart-Road-155?utm_source=google&amp;utm_medium=local&amp;utm_content=155&amp;utm_campaign=localmaps</t>
        </is>
      </c>
    </row>
    <row r="16" ht="15.75" customHeight="1" s="48">
      <c r="A16" t="inlineStr">
        <is>
          <t>Storage Spot AZ</t>
        </is>
      </c>
      <c r="B16" t="inlineStr">
        <is>
          <t>507 E Van Buren St, Avondale, AZ 85323, USA</t>
        </is>
      </c>
      <c r="C16" t="n">
        <v>3.72</v>
      </c>
      <c r="D16" t="n">
        <v>9</v>
      </c>
      <c r="E16" t="inlineStr">
        <is>
          <t>(602) 345-6169</t>
        </is>
      </c>
      <c r="F16" s="13" t="inlineStr">
        <is>
          <t>https://www.storagespotaz.com/</t>
        </is>
      </c>
    </row>
    <row r="17" ht="15.75" customHeight="1" s="48">
      <c r="A17" t="inlineStr">
        <is>
          <t>RightSpace Self Storage</t>
        </is>
      </c>
      <c r="B17" t="inlineStr">
        <is>
          <t>13246 W McDowell Rd, Goodyear, AZ 85395, USA</t>
        </is>
      </c>
      <c r="C17" t="n">
        <v>4.39</v>
      </c>
      <c r="D17" t="n">
        <v>11</v>
      </c>
      <c r="E17" t="inlineStr">
        <is>
          <t>(623) 267-9753</t>
        </is>
      </c>
      <c r="F17" s="13" t="inlineStr">
        <is>
          <t>https://www.nsastorage.com/storage/arizona/storage-units-goodyear/13246-W-McDowell-Rd-831?utm_source=google&amp;utm_medium=local&amp;utm_content=831&amp;utm_campaign=localmaps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Bryant Jones</dc:creator>
  <dcterms:created xsi:type="dcterms:W3CDTF">2026-04-01T01:44:39Z</dcterms:created>
  <dcterms:modified xsi:type="dcterms:W3CDTF">2026-04-16T21:53:24Z</dcterms:modified>
  <cp:lastModifiedBy>Bryant Jones</cp:lastModifiedBy>
</cp:coreProperties>
</file>