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a6a5c74f752ad07d/Documents/"/>
    </mc:Choice>
  </mc:AlternateContent>
  <xr:revisionPtr revIDLastSave="0" documentId="8_{E8152AC5-4CB2-4FAB-8CE3-76D3CF34BAB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forma" sheetId="1" r:id="rId1"/>
    <sheet name="Market Comps" sheetId="2" r:id="rId2"/>
    <sheet name="Facility Lis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9" i="2" l="1"/>
  <c r="C39" i="2"/>
  <c r="C40" i="2" s="1"/>
  <c r="F38" i="2"/>
  <c r="C38" i="2"/>
  <c r="F37" i="2"/>
  <c r="C37" i="2"/>
  <c r="F36" i="2"/>
  <c r="C36" i="2"/>
  <c r="F35" i="2"/>
  <c r="C35" i="2"/>
  <c r="F34" i="2"/>
  <c r="F40" i="2" s="1"/>
  <c r="C34" i="2"/>
  <c r="F29" i="2"/>
  <c r="C29" i="2"/>
  <c r="F28" i="2"/>
  <c r="C28" i="2"/>
  <c r="F27" i="2"/>
  <c r="C27" i="2"/>
  <c r="F26" i="2"/>
  <c r="C26" i="2"/>
  <c r="F25" i="2"/>
  <c r="C25" i="2"/>
  <c r="F24" i="2"/>
  <c r="F30" i="2" s="1"/>
  <c r="C24" i="2"/>
  <c r="C30" i="2" s="1"/>
  <c r="G29" i="1"/>
  <c r="G24" i="1"/>
  <c r="G25" i="1" s="1"/>
  <c r="G20" i="1"/>
  <c r="J16" i="1" s="1"/>
  <c r="J18" i="1" s="1"/>
  <c r="J17" i="1"/>
  <c r="G17" i="1"/>
  <c r="G16" i="1"/>
  <c r="G15" i="1"/>
  <c r="J13" i="1"/>
  <c r="C7" i="1"/>
  <c r="J6" i="1"/>
  <c r="J5" i="1"/>
  <c r="J21" i="1" l="1"/>
  <c r="J7" i="1"/>
  <c r="G26" i="1"/>
  <c r="J9" i="1" s="1"/>
  <c r="G18" i="1"/>
  <c r="G19" i="1" s="1"/>
  <c r="G27" i="1" l="1"/>
  <c r="G28" i="1" s="1"/>
  <c r="J10" i="1"/>
  <c r="J12" i="1" s="1"/>
  <c r="J26" i="1" l="1"/>
  <c r="J14" i="1"/>
  <c r="J20" i="1" s="1"/>
  <c r="J22" i="1" s="1"/>
  <c r="J24" i="1"/>
</calcChain>
</file>

<file path=xl/sharedStrings.xml><?xml version="1.0" encoding="utf-8"?>
<sst xmlns="http://schemas.openxmlformats.org/spreadsheetml/2006/main" count="156" uniqueCount="74">
  <si>
    <t>Facility Type</t>
  </si>
  <si>
    <t>mixed</t>
  </si>
  <si>
    <t>300 Suburban Dr, Anytown, TX 75001</t>
  </si>
  <si>
    <t>Property Overview</t>
  </si>
  <si>
    <t>First Pass Analysis</t>
  </si>
  <si>
    <t>Acres</t>
  </si>
  <si>
    <t>Total Land Sqft</t>
  </si>
  <si>
    <t>cost of land</t>
  </si>
  <si>
    <t>Net Rentable sq ft:</t>
  </si>
  <si>
    <t>Total sqft</t>
  </si>
  <si>
    <t>Monthly Gross Revenue</t>
  </si>
  <si>
    <t>Cap Rate</t>
  </si>
  <si>
    <t>Monthly Expenses</t>
  </si>
  <si>
    <t>Mixed Facility Breakdown</t>
  </si>
  <si>
    <t>MONTHLY NOI</t>
  </si>
  <si>
    <t>Land Split</t>
  </si>
  <si>
    <t>35% multi-story / 65% single-story</t>
  </si>
  <si>
    <t>Annual NOI</t>
  </si>
  <si>
    <t>MULTI-STORY CLIMATE CONTROLLED</t>
  </si>
  <si>
    <t>Rentable Sqft</t>
  </si>
  <si>
    <t>Assumptions</t>
  </si>
  <si>
    <t>Calculated Outputs</t>
  </si>
  <si>
    <t>Valuation</t>
  </si>
  <si>
    <t>Rent Per Sqft</t>
  </si>
  <si>
    <t>Rented Sqft</t>
  </si>
  <si>
    <t>Occupancy</t>
  </si>
  <si>
    <t>Monthly Revenue</t>
  </si>
  <si>
    <t>Construction Costs</t>
  </si>
  <si>
    <t>Expense Ratio</t>
  </si>
  <si>
    <t xml:space="preserve">Cost of Land </t>
  </si>
  <si>
    <t>Cost Per Sqft</t>
  </si>
  <si>
    <t>Monthly NOI</t>
  </si>
  <si>
    <t>TOTAL COST TO BUILD</t>
  </si>
  <si>
    <t>Construction Cost</t>
  </si>
  <si>
    <t>Property Value</t>
  </si>
  <si>
    <t>Less: Cost to Build</t>
  </si>
  <si>
    <t>SINGLE-STORY DRIVE-UP</t>
  </si>
  <si>
    <t>EQUITY VALUE</t>
  </si>
  <si>
    <t>Payback Period (Cost to Build/NOI at stabilization)</t>
  </si>
  <si>
    <t>Yield to Cost</t>
  </si>
  <si>
    <t>DRIVE-UP / STANDARD UNITS</t>
  </si>
  <si>
    <t>CLIMATE CONTROLLED UNITS</t>
  </si>
  <si>
    <t>In-Store Rates</t>
  </si>
  <si>
    <t>Sq Ft</t>
  </si>
  <si>
    <t>Size</t>
  </si>
  <si>
    <t>StorageMart - Main St (1.2 mi)</t>
  </si>
  <si>
    <t>Extra Space Storage (2.5 mi)</t>
  </si>
  <si>
    <t>5x5</t>
  </si>
  <si>
    <t>5x10</t>
  </si>
  <si>
    <t>10x10</t>
  </si>
  <si>
    <t>10x15</t>
  </si>
  <si>
    <t>10x20</t>
  </si>
  <si>
    <t>10x30</t>
  </si>
  <si>
    <t>Online (Discounted) Rates</t>
  </si>
  <si>
    <t>Drive-Up Units</t>
  </si>
  <si>
    <t>In-Store rates</t>
  </si>
  <si>
    <t>Online rates (discounted)</t>
  </si>
  <si>
    <t>average cost per SqFt</t>
  </si>
  <si>
    <t>weighted average</t>
  </si>
  <si>
    <t>Climate Controlled</t>
  </si>
  <si>
    <t>Facility Name</t>
  </si>
  <si>
    <t>Address</t>
  </si>
  <si>
    <t>Distance (mi)</t>
  </si>
  <si>
    <t>Drive Time (min)</t>
  </si>
  <si>
    <t>Phone</t>
  </si>
  <si>
    <t>Website</t>
  </si>
  <si>
    <t>StorageMart - Main St</t>
  </si>
  <si>
    <t>123 Main St, Anytown, TX 75001</t>
  </si>
  <si>
    <t>(555) 111-2222</t>
  </si>
  <si>
    <t>https://example.com/storagemart</t>
  </si>
  <si>
    <t>Extra Space Storage</t>
  </si>
  <si>
    <t>456 Oak Ave, Anytown, TX 75001</t>
  </si>
  <si>
    <t>(555) 333-4444</t>
  </si>
  <si>
    <t>https://example.com/extraspace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</si>
</sst>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&quot;$&quot;#,##0"/>
    <numFmt numFmtId="166" formatCode="#,##0.0\ &quot;years&quot;"/>
    <numFmt numFmtId="167" formatCode="0.0%"/>
    <numFmt numFmtId="168" formatCode="\$#,##0"/>
    <numFmt numFmtId="169" formatCode="\$#,##0.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  <font>
      <b/>
      <sz val="12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i/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2F5233"/>
        <bgColor rgb="FF2F5233"/>
      </patternFill>
    </fill>
    <fill>
      <patternFill patternType="solid">
        <fgColor rgb="FFC65911"/>
        <bgColor rgb="FFC65911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7">
    <xf numFmtId="0" fontId="0" fillId="0" borderId="0"/>
    <xf numFmtId="43" fontId="1" fillId="0" borderId="0"/>
    <xf numFmtId="44" fontId="1" fillId="0" borderId="0"/>
    <xf numFmtId="9" fontId="1" fillId="0" borderId="0"/>
    <xf numFmtId="0" fontId="2" fillId="0" borderId="0"/>
    <xf numFmtId="0" fontId="1" fillId="0" borderId="0"/>
    <xf numFmtId="0" fontId="2" fillId="0" borderId="0"/>
  </cellStyleXfs>
  <cellXfs count="81">
    <xf numFmtId="0" fontId="0" fillId="0" borderId="0" xfId="0"/>
    <xf numFmtId="164" fontId="0" fillId="0" borderId="0" xfId="0" applyNumberFormat="1"/>
    <xf numFmtId="0" fontId="4" fillId="0" borderId="0" xfId="5" applyFont="1" applyAlignment="1">
      <alignment horizontal="left"/>
    </xf>
    <xf numFmtId="0" fontId="4" fillId="0" borderId="0" xfId="5" applyFont="1" applyAlignment="1">
      <alignment horizontal="center"/>
    </xf>
    <xf numFmtId="0" fontId="4" fillId="0" borderId="0" xfId="5" applyFont="1"/>
    <xf numFmtId="0" fontId="8" fillId="0" borderId="0" xfId="0" applyFont="1"/>
    <xf numFmtId="0" fontId="8" fillId="4" borderId="0" xfId="0" applyFont="1" applyFill="1"/>
    <xf numFmtId="0" fontId="8" fillId="5" borderId="0" xfId="0" applyFont="1" applyFill="1"/>
    <xf numFmtId="0" fontId="8" fillId="4" borderId="0" xfId="0" applyFont="1" applyFill="1" applyAlignment="1">
      <alignment horizontal="center" wrapText="1"/>
    </xf>
    <xf numFmtId="0" fontId="8" fillId="5" borderId="0" xfId="0" applyFont="1" applyFill="1" applyAlignment="1">
      <alignment horizontal="center" wrapText="1"/>
    </xf>
    <xf numFmtId="0" fontId="11" fillId="0" borderId="0" xfId="0" applyFont="1"/>
    <xf numFmtId="164" fontId="8" fillId="0" borderId="0" xfId="0" applyNumberFormat="1" applyFont="1"/>
    <xf numFmtId="0" fontId="2" fillId="0" borderId="0" xfId="6"/>
    <xf numFmtId="0" fontId="8" fillId="4" borderId="0" xfId="0" applyFont="1" applyFill="1"/>
    <xf numFmtId="0" fontId="0" fillId="0" borderId="0" xfId="0"/>
    <xf numFmtId="0" fontId="8" fillId="5" borderId="0" xfId="0" applyFont="1" applyFill="1"/>
    <xf numFmtId="0" fontId="0" fillId="0" borderId="0" xfId="0" applyBorder="1"/>
    <xf numFmtId="0" fontId="3" fillId="0" borderId="0" xfId="5" applyFont="1" applyBorder="1"/>
    <xf numFmtId="0" fontId="4" fillId="0" borderId="0" xfId="5" applyFont="1" applyBorder="1"/>
    <xf numFmtId="0" fontId="4" fillId="0" borderId="0" xfId="5" applyFont="1" applyBorder="1" applyAlignment="1">
      <alignment horizontal="left"/>
    </xf>
    <xf numFmtId="0" fontId="4" fillId="0" borderId="0" xfId="5" applyFont="1" applyBorder="1" applyAlignment="1">
      <alignment horizontal="center"/>
    </xf>
    <xf numFmtId="0" fontId="3" fillId="0" borderId="0" xfId="5" applyFont="1" applyBorder="1" applyAlignment="1">
      <alignment horizontal="left"/>
    </xf>
    <xf numFmtId="0" fontId="5" fillId="0" borderId="0" xfId="5" applyFont="1" applyBorder="1"/>
    <xf numFmtId="9" fontId="4" fillId="0" borderId="0" xfId="5" applyNumberFormat="1" applyFont="1" applyBorder="1" applyAlignment="1">
      <alignment horizontal="center"/>
    </xf>
    <xf numFmtId="165" fontId="0" fillId="0" borderId="0" xfId="2" applyNumberFormat="1" applyFont="1" applyBorder="1" applyAlignment="1">
      <alignment horizontal="left"/>
    </xf>
    <xf numFmtId="0" fontId="4" fillId="0" borderId="0" xfId="0" applyFont="1" applyBorder="1"/>
    <xf numFmtId="164" fontId="4" fillId="0" borderId="0" xfId="2" applyNumberFormat="1" applyFont="1" applyBorder="1" applyAlignment="1">
      <alignment horizontal="center"/>
    </xf>
    <xf numFmtId="3" fontId="0" fillId="0" borderId="0" xfId="1" applyNumberFormat="1" applyFont="1" applyBorder="1" applyAlignment="1">
      <alignment horizontal="left"/>
    </xf>
    <xf numFmtId="0" fontId="6" fillId="0" borderId="0" xfId="0" applyFont="1" applyBorder="1"/>
    <xf numFmtId="0" fontId="7" fillId="2" borderId="0" xfId="0" applyFont="1" applyFill="1" applyBorder="1"/>
    <xf numFmtId="0" fontId="0" fillId="2" borderId="0" xfId="0" applyFill="1" applyBorder="1"/>
    <xf numFmtId="0" fontId="4" fillId="2" borderId="0" xfId="5" applyFont="1" applyFill="1" applyBorder="1" applyAlignment="1">
      <alignment horizontal="left"/>
    </xf>
    <xf numFmtId="9" fontId="4" fillId="2" borderId="0" xfId="5" applyNumberFormat="1" applyFont="1" applyFill="1" applyBorder="1" applyAlignment="1">
      <alignment horizontal="center"/>
    </xf>
    <xf numFmtId="10" fontId="0" fillId="0" borderId="0" xfId="0" applyNumberFormat="1" applyBorder="1"/>
    <xf numFmtId="0" fontId="8" fillId="0" borderId="0" xfId="5" applyFont="1" applyBorder="1"/>
    <xf numFmtId="0" fontId="8" fillId="0" borderId="0" xfId="0" applyFont="1" applyBorder="1"/>
    <xf numFmtId="3" fontId="4" fillId="0" borderId="0" xfId="5" applyNumberFormat="1" applyFont="1" applyBorder="1"/>
    <xf numFmtId="169" fontId="4" fillId="0" borderId="0" xfId="5" applyNumberFormat="1" applyFont="1" applyBorder="1" applyAlignment="1">
      <alignment horizontal="left"/>
    </xf>
    <xf numFmtId="3" fontId="4" fillId="0" borderId="0" xfId="5" applyNumberFormat="1" applyFont="1" applyBorder="1" applyAlignment="1">
      <alignment horizontal="left"/>
    </xf>
    <xf numFmtId="168" fontId="3" fillId="0" borderId="0" xfId="5" applyNumberFormat="1" applyFont="1" applyBorder="1" applyAlignment="1">
      <alignment horizontal="left"/>
    </xf>
    <xf numFmtId="168" fontId="4" fillId="0" borderId="0" xfId="5" applyNumberFormat="1" applyFont="1" applyBorder="1" applyAlignment="1">
      <alignment horizontal="left"/>
    </xf>
    <xf numFmtId="169" fontId="0" fillId="0" borderId="0" xfId="0" applyNumberFormat="1" applyBorder="1"/>
    <xf numFmtId="168" fontId="8" fillId="0" borderId="0" xfId="5" applyNumberFormat="1" applyFont="1" applyBorder="1" applyAlignment="1">
      <alignment horizontal="left"/>
    </xf>
    <xf numFmtId="6" fontId="4" fillId="0" borderId="0" xfId="5" applyNumberFormat="1" applyFont="1" applyBorder="1" applyAlignment="1">
      <alignment horizontal="center"/>
    </xf>
    <xf numFmtId="0" fontId="7" fillId="3" borderId="0" xfId="5" applyFont="1" applyFill="1" applyBorder="1"/>
    <xf numFmtId="0" fontId="4" fillId="3" borderId="0" xfId="5" applyFont="1" applyFill="1" applyBorder="1"/>
    <xf numFmtId="0" fontId="0" fillId="3" borderId="0" xfId="0" applyFill="1" applyBorder="1"/>
    <xf numFmtId="0" fontId="4" fillId="3" borderId="0" xfId="5" applyFont="1" applyFill="1" applyBorder="1" applyAlignment="1">
      <alignment horizontal="left"/>
    </xf>
    <xf numFmtId="9" fontId="3" fillId="0" borderId="0" xfId="3" applyFont="1" applyBorder="1" applyAlignment="1">
      <alignment horizontal="left" vertical="top"/>
    </xf>
    <xf numFmtId="166" fontId="3" fillId="0" borderId="0" xfId="5" applyNumberFormat="1" applyFont="1" applyBorder="1" applyAlignment="1">
      <alignment horizontal="center"/>
    </xf>
    <xf numFmtId="0" fontId="3" fillId="0" borderId="0" xfId="5" applyFont="1" applyBorder="1" applyAlignment="1">
      <alignment horizontal="left" vertical="top"/>
    </xf>
    <xf numFmtId="167" fontId="3" fillId="0" borderId="0" xfId="5" applyNumberFormat="1" applyFont="1" applyBorder="1" applyAlignment="1">
      <alignment horizontal="center"/>
    </xf>
    <xf numFmtId="0" fontId="4" fillId="0" borderId="1" xfId="5" applyFont="1" applyBorder="1"/>
    <xf numFmtId="0" fontId="4" fillId="0" borderId="2" xfId="5" applyFont="1" applyBorder="1" applyAlignment="1">
      <alignment horizontal="left"/>
    </xf>
    <xf numFmtId="165" fontId="0" fillId="0" borderId="3" xfId="2" applyNumberFormat="1" applyFont="1" applyBorder="1" applyAlignment="1">
      <alignment horizontal="left"/>
    </xf>
    <xf numFmtId="3" fontId="0" fillId="0" borderId="3" xfId="1" applyNumberFormat="1" applyFont="1" applyBorder="1" applyAlignment="1">
      <alignment horizontal="left"/>
    </xf>
    <xf numFmtId="9" fontId="0" fillId="0" borderId="3" xfId="0" applyNumberFormat="1" applyBorder="1" applyAlignment="1">
      <alignment horizontal="left"/>
    </xf>
    <xf numFmtId="0" fontId="4" fillId="0" borderId="0" xfId="5" applyFont="1" applyFill="1" applyBorder="1" applyAlignment="1">
      <alignment horizontal="center"/>
    </xf>
    <xf numFmtId="0" fontId="0" fillId="0" borderId="0" xfId="0" applyFill="1" applyBorder="1"/>
    <xf numFmtId="0" fontId="9" fillId="0" borderId="0" xfId="0" applyFont="1" applyFill="1" applyBorder="1"/>
    <xf numFmtId="3" fontId="4" fillId="0" borderId="0" xfId="5" applyNumberFormat="1" applyFont="1" applyFill="1" applyBorder="1" applyAlignment="1">
      <alignment horizontal="center" wrapText="1"/>
    </xf>
    <xf numFmtId="0" fontId="10" fillId="0" borderId="0" xfId="0" applyFont="1" applyFill="1" applyBorder="1"/>
    <xf numFmtId="3" fontId="0" fillId="0" borderId="0" xfId="0" applyNumberFormat="1" applyFill="1" applyBorder="1"/>
    <xf numFmtId="9" fontId="4" fillId="0" borderId="0" xfId="5" applyNumberFormat="1" applyFont="1" applyFill="1" applyBorder="1" applyAlignment="1">
      <alignment horizontal="center" wrapText="1"/>
    </xf>
    <xf numFmtId="168" fontId="0" fillId="0" borderId="0" xfId="0" applyNumberFormat="1" applyFill="1" applyBorder="1"/>
    <xf numFmtId="164" fontId="4" fillId="0" borderId="0" xfId="5" applyNumberFormat="1" applyFont="1" applyFill="1" applyBorder="1" applyAlignment="1">
      <alignment horizontal="center"/>
    </xf>
    <xf numFmtId="10" fontId="4" fillId="0" borderId="0" xfId="5" applyNumberFormat="1" applyFont="1" applyFill="1" applyBorder="1" applyAlignment="1">
      <alignment horizontal="center" wrapText="1"/>
    </xf>
    <xf numFmtId="6" fontId="9" fillId="0" borderId="0" xfId="0" applyNumberFormat="1" applyFont="1" applyFill="1" applyBorder="1"/>
    <xf numFmtId="6" fontId="4" fillId="0" borderId="0" xfId="5" applyNumberFormat="1" applyFont="1" applyFill="1" applyBorder="1" applyAlignment="1">
      <alignment horizontal="center" wrapText="1"/>
    </xf>
    <xf numFmtId="10" fontId="0" fillId="0" borderId="0" xfId="0" applyNumberFormat="1" applyFill="1" applyBorder="1"/>
    <xf numFmtId="6" fontId="3" fillId="0" borderId="0" xfId="5" applyNumberFormat="1" applyFont="1" applyFill="1" applyBorder="1" applyAlignment="1">
      <alignment horizontal="center" wrapText="1"/>
    </xf>
    <xf numFmtId="6" fontId="0" fillId="0" borderId="0" xfId="0" applyNumberFormat="1" applyFill="1" applyBorder="1"/>
    <xf numFmtId="6" fontId="4" fillId="0" borderId="0" xfId="5" applyNumberFormat="1" applyFont="1" applyFill="1" applyBorder="1" applyAlignment="1">
      <alignment horizontal="center"/>
    </xf>
    <xf numFmtId="164" fontId="4" fillId="0" borderId="0" xfId="5" applyNumberFormat="1" applyFont="1" applyFill="1" applyBorder="1" applyAlignment="1">
      <alignment horizontal="center" wrapText="1"/>
    </xf>
    <xf numFmtId="0" fontId="4" fillId="0" borderId="0" xfId="5" applyFont="1" applyFill="1" applyBorder="1" applyAlignment="1">
      <alignment horizontal="center" wrapText="1"/>
    </xf>
    <xf numFmtId="6" fontId="3" fillId="0" borderId="0" xfId="5" applyNumberFormat="1" applyFont="1" applyFill="1" applyBorder="1" applyAlignment="1">
      <alignment horizontal="center"/>
    </xf>
    <xf numFmtId="0" fontId="9" fillId="6" borderId="0" xfId="0" applyFont="1" applyFill="1" applyBorder="1"/>
    <xf numFmtId="6" fontId="9" fillId="6" borderId="0" xfId="0" applyNumberFormat="1" applyFont="1" applyFill="1" applyBorder="1"/>
    <xf numFmtId="166" fontId="9" fillId="6" borderId="0" xfId="0" applyNumberFormat="1" applyFont="1" applyFill="1" applyBorder="1"/>
    <xf numFmtId="167" fontId="9" fillId="6" borderId="0" xfId="0" applyNumberFormat="1" applyFont="1" applyFill="1" applyBorder="1"/>
    <xf numFmtId="168" fontId="8" fillId="0" borderId="0" xfId="5" applyNumberFormat="1" applyFont="1" applyFill="1" applyBorder="1" applyAlignment="1">
      <alignment horizontal="left"/>
    </xf>
  </cellXfs>
  <cellStyles count="7">
    <cellStyle name="Comma" xfId="1" builtinId="3"/>
    <cellStyle name="Currency" xfId="2" builtinId="4"/>
    <cellStyle name="Hyperlink" xfId="6" builtinId="8"/>
    <cellStyle name="Hyperlink 2" xfId="4" xr:uid="{00000000-0005-0000-0000-000004000000}"/>
    <cellStyle name="Normal" xfId="0" builtinId="0"/>
    <cellStyle name="Normal 2" xfId="5" xr:uid="{00000000-0005-0000-0000-000005000000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example.com/extraspace" TargetMode="External"/><Relationship Id="rId1" Type="http://schemas.openxmlformats.org/officeDocument/2006/relationships/hyperlink" Target="https://example.com/storagemar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42"/>
  <sheetViews>
    <sheetView showGridLines="0" tabSelected="1" workbookViewId="0">
      <selection activeCell="J31" sqref="J31"/>
    </sheetView>
  </sheetViews>
  <sheetFormatPr defaultRowHeight="15" x14ac:dyDescent="0.25"/>
  <cols>
    <col min="1" max="1" width="10.7109375" customWidth="1"/>
    <col min="2" max="2" width="19.85546875" customWidth="1"/>
    <col min="3" max="3" width="18.42578125" bestFit="1" customWidth="1"/>
    <col min="4" max="4" width="21.28515625" customWidth="1"/>
    <col min="5" max="5" width="10.7109375" customWidth="1"/>
    <col min="6" max="6" width="22.5703125" customWidth="1"/>
    <col min="7" max="7" width="19.28515625" customWidth="1"/>
    <col min="8" max="8" width="12.7109375" customWidth="1"/>
    <col min="9" max="9" width="52" customWidth="1"/>
    <col min="10" max="10" width="16" customWidth="1"/>
  </cols>
  <sheetData>
    <row r="2" spans="1:10" x14ac:dyDescent="0.25">
      <c r="A2" s="16"/>
      <c r="B2" s="17" t="s">
        <v>0</v>
      </c>
      <c r="C2" s="18" t="s">
        <v>1</v>
      </c>
      <c r="D2" s="19"/>
      <c r="E2" s="20"/>
      <c r="F2" s="16"/>
      <c r="G2" s="16"/>
      <c r="H2" s="16"/>
      <c r="I2" s="16"/>
      <c r="J2" s="16"/>
    </row>
    <row r="3" spans="1:10" x14ac:dyDescent="0.25">
      <c r="A3" s="16"/>
      <c r="B3" s="17" t="s">
        <v>2</v>
      </c>
      <c r="C3" s="16"/>
      <c r="D3" s="19"/>
      <c r="E3" s="20"/>
      <c r="F3" s="16"/>
      <c r="G3" s="21"/>
      <c r="H3" s="57"/>
      <c r="I3" s="58"/>
      <c r="J3" s="58"/>
    </row>
    <row r="4" spans="1:10" x14ac:dyDescent="0.25">
      <c r="A4" s="16"/>
      <c r="B4" s="17" t="s">
        <v>3</v>
      </c>
      <c r="C4" s="19"/>
      <c r="D4" s="22"/>
      <c r="E4" s="20"/>
      <c r="F4" s="16"/>
      <c r="G4" s="21"/>
      <c r="H4" s="57"/>
      <c r="I4" s="59" t="s">
        <v>4</v>
      </c>
      <c r="J4" s="58"/>
    </row>
    <row r="5" spans="1:10" x14ac:dyDescent="0.25">
      <c r="A5" s="16"/>
      <c r="B5" s="52" t="s">
        <v>5</v>
      </c>
      <c r="C5" s="53">
        <v>3</v>
      </c>
      <c r="D5" s="18"/>
      <c r="E5" s="23"/>
      <c r="F5" s="16"/>
      <c r="G5" s="19"/>
      <c r="H5" s="60"/>
      <c r="I5" s="61" t="s">
        <v>6</v>
      </c>
      <c r="J5" s="62">
        <f>C5*43560</f>
        <v>130680</v>
      </c>
    </row>
    <row r="6" spans="1:10" x14ac:dyDescent="0.25">
      <c r="A6" s="16"/>
      <c r="B6" s="18" t="s">
        <v>7</v>
      </c>
      <c r="C6" s="54">
        <v>500000</v>
      </c>
      <c r="D6" s="25"/>
      <c r="E6" s="26"/>
      <c r="F6" s="16"/>
      <c r="G6" s="19"/>
      <c r="H6" s="63"/>
      <c r="I6" s="61" t="s">
        <v>8</v>
      </c>
      <c r="J6" s="62">
        <f>B15+B24</f>
        <v>90000</v>
      </c>
    </row>
    <row r="7" spans="1:10" x14ac:dyDescent="0.25">
      <c r="A7" s="16"/>
      <c r="B7" s="18" t="s">
        <v>9</v>
      </c>
      <c r="C7" s="55">
        <f>C5*43560</f>
        <v>130680</v>
      </c>
      <c r="D7" s="16"/>
      <c r="E7" s="23"/>
      <c r="F7" s="16"/>
      <c r="G7" s="19"/>
      <c r="H7" s="60"/>
      <c r="I7" s="61" t="s">
        <v>10</v>
      </c>
      <c r="J7" s="64">
        <f>G16+G25</f>
        <v>122567.643</v>
      </c>
    </row>
    <row r="8" spans="1:10" x14ac:dyDescent="0.25">
      <c r="A8" s="16"/>
      <c r="B8" s="16" t="s">
        <v>11</v>
      </c>
      <c r="C8" s="56">
        <v>7.0000000000000007E-2</v>
      </c>
      <c r="D8" s="19"/>
      <c r="E8" s="23"/>
      <c r="F8" s="16"/>
      <c r="G8" s="16"/>
      <c r="H8" s="58"/>
      <c r="I8" s="58"/>
      <c r="J8" s="58"/>
    </row>
    <row r="9" spans="1:10" x14ac:dyDescent="0.25">
      <c r="A9" s="16"/>
      <c r="B9" s="18"/>
      <c r="C9" s="18"/>
      <c r="D9" s="19"/>
      <c r="E9" s="23"/>
      <c r="F9" s="16"/>
      <c r="G9" s="19"/>
      <c r="H9" s="65"/>
      <c r="I9" s="61" t="s">
        <v>12</v>
      </c>
      <c r="J9" s="64">
        <f>G17+G26</f>
        <v>30641.910749999999</v>
      </c>
    </row>
    <row r="10" spans="1:10" ht="15.75" x14ac:dyDescent="0.25">
      <c r="A10" s="16"/>
      <c r="B10" s="18"/>
      <c r="C10" s="18"/>
      <c r="D10" s="16"/>
      <c r="E10" s="26"/>
      <c r="F10" s="28" t="s">
        <v>13</v>
      </c>
      <c r="G10" s="19"/>
      <c r="H10" s="66"/>
      <c r="I10" s="59" t="s">
        <v>14</v>
      </c>
      <c r="J10" s="67">
        <f>J7-J9</f>
        <v>91925.732250000001</v>
      </c>
    </row>
    <row r="11" spans="1:10" x14ac:dyDescent="0.25">
      <c r="A11" s="16"/>
      <c r="B11" s="18"/>
      <c r="C11" s="24"/>
      <c r="D11" s="16"/>
      <c r="E11" s="16"/>
      <c r="F11" s="16" t="s">
        <v>15</v>
      </c>
      <c r="G11" s="19"/>
      <c r="H11" s="60"/>
      <c r="I11" s="58"/>
      <c r="J11" s="58"/>
    </row>
    <row r="12" spans="1:10" x14ac:dyDescent="0.25">
      <c r="A12" s="16"/>
      <c r="B12" s="18"/>
      <c r="C12" s="27"/>
      <c r="D12" s="16"/>
      <c r="E12" s="23"/>
      <c r="F12" s="16" t="s">
        <v>16</v>
      </c>
      <c r="G12" s="19"/>
      <c r="H12" s="68"/>
      <c r="I12" s="59" t="s">
        <v>17</v>
      </c>
      <c r="J12" s="67">
        <f>J10*12</f>
        <v>1103108.787</v>
      </c>
    </row>
    <row r="13" spans="1:10" x14ac:dyDescent="0.25">
      <c r="A13" s="16"/>
      <c r="B13" s="29" t="s">
        <v>18</v>
      </c>
      <c r="C13" s="30"/>
      <c r="D13" s="31"/>
      <c r="E13" s="32"/>
      <c r="F13" s="30"/>
      <c r="G13" s="31"/>
      <c r="H13" s="68"/>
      <c r="I13" s="61" t="s">
        <v>11</v>
      </c>
      <c r="J13" s="69">
        <f>C8</f>
        <v>7.0000000000000007E-2</v>
      </c>
    </row>
    <row r="14" spans="1:10" x14ac:dyDescent="0.25">
      <c r="A14" s="16"/>
      <c r="B14" s="34" t="s">
        <v>19</v>
      </c>
      <c r="C14" s="34" t="s">
        <v>20</v>
      </c>
      <c r="D14" s="16"/>
      <c r="E14" s="26"/>
      <c r="F14" s="35" t="s">
        <v>21</v>
      </c>
      <c r="G14" s="19"/>
      <c r="H14" s="66"/>
      <c r="I14" s="59" t="s">
        <v>22</v>
      </c>
      <c r="J14" s="67">
        <f>J12/J13</f>
        <v>15758696.957142856</v>
      </c>
    </row>
    <row r="15" spans="1:10" x14ac:dyDescent="0.25">
      <c r="A15" s="16"/>
      <c r="B15" s="36">
        <v>56141</v>
      </c>
      <c r="C15" s="18" t="s">
        <v>23</v>
      </c>
      <c r="D15" s="37">
        <v>1.69</v>
      </c>
      <c r="E15" s="23"/>
      <c r="F15" s="16" t="s">
        <v>24</v>
      </c>
      <c r="G15" s="38">
        <f>B15*D16</f>
        <v>50526.9</v>
      </c>
      <c r="H15" s="68"/>
      <c r="I15" s="58"/>
      <c r="J15" s="58"/>
    </row>
    <row r="16" spans="1:10" x14ac:dyDescent="0.25">
      <c r="A16" s="16"/>
      <c r="B16" s="18"/>
      <c r="C16" s="18" t="s">
        <v>25</v>
      </c>
      <c r="D16" s="33">
        <v>0.9</v>
      </c>
      <c r="E16" s="16"/>
      <c r="F16" s="16" t="s">
        <v>26</v>
      </c>
      <c r="G16" s="39">
        <f>G15*D15</f>
        <v>85390.460999999996</v>
      </c>
      <c r="H16" s="70"/>
      <c r="I16" s="61" t="s">
        <v>27</v>
      </c>
      <c r="J16" s="64">
        <f>G20+G29</f>
        <v>7026345</v>
      </c>
    </row>
    <row r="17" spans="1:10" x14ac:dyDescent="0.25">
      <c r="A17" s="16"/>
      <c r="B17" s="18"/>
      <c r="C17" s="18" t="s">
        <v>28</v>
      </c>
      <c r="D17" s="33">
        <v>0.25</v>
      </c>
      <c r="E17" s="16"/>
      <c r="F17" s="16" t="s">
        <v>12</v>
      </c>
      <c r="G17" s="40">
        <f>G16*D17</f>
        <v>21347.615249999999</v>
      </c>
      <c r="H17" s="57"/>
      <c r="I17" s="61" t="s">
        <v>29</v>
      </c>
      <c r="J17" s="71">
        <f>C6</f>
        <v>500000</v>
      </c>
    </row>
    <row r="18" spans="1:10" x14ac:dyDescent="0.25">
      <c r="A18" s="16"/>
      <c r="B18" s="18"/>
      <c r="C18" s="18" t="s">
        <v>30</v>
      </c>
      <c r="D18" s="41">
        <v>95</v>
      </c>
      <c r="E18" s="16"/>
      <c r="F18" s="35" t="s">
        <v>31</v>
      </c>
      <c r="G18" s="42">
        <f>G16-G17</f>
        <v>64042.845749999993</v>
      </c>
      <c r="H18" s="72"/>
      <c r="I18" s="59" t="s">
        <v>32</v>
      </c>
      <c r="J18" s="67">
        <f>J16+J17</f>
        <v>7526345</v>
      </c>
    </row>
    <row r="19" spans="1:10" x14ac:dyDescent="0.25">
      <c r="A19" s="16"/>
      <c r="B19" s="18"/>
      <c r="C19" s="18"/>
      <c r="D19" s="16"/>
      <c r="E19" s="16"/>
      <c r="F19" s="35" t="s">
        <v>17</v>
      </c>
      <c r="G19" s="42">
        <f>G18*12</f>
        <v>768514.14899999998</v>
      </c>
      <c r="H19" s="66"/>
      <c r="I19" s="58"/>
      <c r="J19" s="58"/>
    </row>
    <row r="20" spans="1:10" x14ac:dyDescent="0.25">
      <c r="A20" s="16"/>
      <c r="B20" s="18"/>
      <c r="C20" s="18"/>
      <c r="D20" s="16"/>
      <c r="E20" s="16"/>
      <c r="F20" s="35" t="s">
        <v>33</v>
      </c>
      <c r="G20" s="42">
        <f>B15*D18</f>
        <v>5333395</v>
      </c>
      <c r="H20" s="72"/>
      <c r="I20" s="61" t="s">
        <v>34</v>
      </c>
      <c r="J20" s="71">
        <f>J14</f>
        <v>15758696.957142856</v>
      </c>
    </row>
    <row r="21" spans="1:10" x14ac:dyDescent="0.25">
      <c r="A21" s="16"/>
      <c r="B21" s="18"/>
      <c r="C21" s="18"/>
      <c r="D21" s="16"/>
      <c r="E21" s="16"/>
      <c r="F21" s="16"/>
      <c r="G21" s="19"/>
      <c r="H21" s="57"/>
      <c r="I21" s="61" t="s">
        <v>35</v>
      </c>
      <c r="J21" s="71">
        <f>J18</f>
        <v>7526345</v>
      </c>
    </row>
    <row r="22" spans="1:10" x14ac:dyDescent="0.25">
      <c r="A22" s="16"/>
      <c r="B22" s="44" t="s">
        <v>36</v>
      </c>
      <c r="C22" s="45"/>
      <c r="D22" s="46"/>
      <c r="E22" s="46"/>
      <c r="F22" s="46"/>
      <c r="G22" s="47"/>
      <c r="H22" s="73"/>
      <c r="I22" s="76" t="s">
        <v>37</v>
      </c>
      <c r="J22" s="77">
        <f>J20-J21</f>
        <v>8232351.957142856</v>
      </c>
    </row>
    <row r="23" spans="1:10" x14ac:dyDescent="0.25">
      <c r="A23" s="16"/>
      <c r="B23" s="34" t="s">
        <v>19</v>
      </c>
      <c r="C23" s="34" t="s">
        <v>20</v>
      </c>
      <c r="D23" s="16"/>
      <c r="E23" s="16"/>
      <c r="F23" s="35" t="s">
        <v>21</v>
      </c>
      <c r="G23" s="19"/>
      <c r="H23" s="72"/>
      <c r="I23" s="58"/>
      <c r="J23" s="58"/>
    </row>
    <row r="24" spans="1:10" x14ac:dyDescent="0.25">
      <c r="A24" s="16"/>
      <c r="B24" s="36">
        <v>33859</v>
      </c>
      <c r="C24" s="18" t="s">
        <v>23</v>
      </c>
      <c r="D24" s="41">
        <v>1.22</v>
      </c>
      <c r="E24" s="16"/>
      <c r="F24" s="16" t="s">
        <v>24</v>
      </c>
      <c r="G24" s="38">
        <f>B24*D25</f>
        <v>30473.100000000002</v>
      </c>
      <c r="H24" s="68"/>
      <c r="I24" s="76" t="s">
        <v>38</v>
      </c>
      <c r="J24" s="78">
        <f>J18/J12</f>
        <v>6.8228492862145966</v>
      </c>
    </row>
    <row r="25" spans="1:10" x14ac:dyDescent="0.25">
      <c r="A25" s="16"/>
      <c r="B25" s="18"/>
      <c r="C25" s="18" t="s">
        <v>25</v>
      </c>
      <c r="D25" s="33">
        <v>0.9</v>
      </c>
      <c r="E25" s="16"/>
      <c r="F25" s="16" t="s">
        <v>26</v>
      </c>
      <c r="G25" s="39">
        <f>G24*D24</f>
        <v>37177.182000000001</v>
      </c>
      <c r="H25" s="70"/>
      <c r="I25" s="58"/>
      <c r="J25" s="58"/>
    </row>
    <row r="26" spans="1:10" x14ac:dyDescent="0.25">
      <c r="A26" s="16"/>
      <c r="B26" s="18"/>
      <c r="C26" s="18" t="s">
        <v>28</v>
      </c>
      <c r="D26" s="33">
        <v>0.25</v>
      </c>
      <c r="E26" s="16"/>
      <c r="F26" s="16" t="s">
        <v>12</v>
      </c>
      <c r="G26" s="40">
        <f>G25*D26</f>
        <v>9294.2955000000002</v>
      </c>
      <c r="H26" s="74"/>
      <c r="I26" s="76" t="s">
        <v>39</v>
      </c>
      <c r="J26" s="79">
        <f>J12/J18</f>
        <v>0.14656633292786872</v>
      </c>
    </row>
    <row r="27" spans="1:10" x14ac:dyDescent="0.25">
      <c r="A27" s="16"/>
      <c r="B27" s="18"/>
      <c r="C27" s="18" t="s">
        <v>30</v>
      </c>
      <c r="D27" s="41">
        <v>50</v>
      </c>
      <c r="E27" s="16"/>
      <c r="F27" s="35" t="s">
        <v>31</v>
      </c>
      <c r="G27" s="42">
        <f>G25-G26</f>
        <v>27882.886500000001</v>
      </c>
      <c r="H27" s="68"/>
      <c r="I27" s="58"/>
      <c r="J27" s="58"/>
    </row>
    <row r="28" spans="1:10" x14ac:dyDescent="0.25">
      <c r="A28" s="16"/>
      <c r="B28" s="18"/>
      <c r="C28" s="18"/>
      <c r="D28" s="16"/>
      <c r="E28" s="16"/>
      <c r="F28" s="35" t="s">
        <v>17</v>
      </c>
      <c r="G28" s="42">
        <f>G27*12</f>
        <v>334594.63800000004</v>
      </c>
      <c r="H28" s="68"/>
      <c r="I28" s="58"/>
      <c r="J28" s="58"/>
    </row>
    <row r="29" spans="1:10" x14ac:dyDescent="0.25">
      <c r="A29" s="16"/>
      <c r="B29" s="18"/>
      <c r="C29" s="18"/>
      <c r="D29" s="16"/>
      <c r="E29" s="16"/>
      <c r="F29" s="35" t="s">
        <v>33</v>
      </c>
      <c r="G29" s="80">
        <f>B24*D27</f>
        <v>1692950</v>
      </c>
      <c r="H29" s="75"/>
      <c r="I29" s="58"/>
      <c r="J29" s="58"/>
    </row>
    <row r="30" spans="1:10" x14ac:dyDescent="0.25">
      <c r="A30" s="16"/>
      <c r="B30" s="18"/>
      <c r="C30" s="18"/>
      <c r="D30" s="16"/>
      <c r="E30" s="16"/>
      <c r="F30" s="16"/>
      <c r="G30" s="19"/>
      <c r="H30" s="20"/>
      <c r="I30" s="16"/>
      <c r="J30" s="16"/>
    </row>
    <row r="31" spans="1:10" x14ac:dyDescent="0.25">
      <c r="A31" s="16"/>
      <c r="B31" s="18"/>
      <c r="C31" s="18"/>
      <c r="D31" s="16"/>
      <c r="E31" s="16"/>
      <c r="F31" s="16"/>
      <c r="G31" s="48"/>
      <c r="H31" s="49"/>
      <c r="I31" s="16"/>
      <c r="J31" s="16"/>
    </row>
    <row r="32" spans="1:10" x14ac:dyDescent="0.25">
      <c r="A32" s="16"/>
      <c r="B32" s="18"/>
      <c r="C32" s="18"/>
      <c r="D32" s="16"/>
      <c r="E32" s="16"/>
      <c r="F32" s="16"/>
      <c r="G32" s="19"/>
      <c r="H32" s="43"/>
      <c r="I32" s="16"/>
      <c r="J32" s="16"/>
    </row>
    <row r="33" spans="1:10" x14ac:dyDescent="0.25">
      <c r="A33" s="16"/>
      <c r="B33" s="18"/>
      <c r="C33" s="18"/>
      <c r="D33" s="16"/>
      <c r="E33" s="16"/>
      <c r="F33" s="16"/>
      <c r="G33" s="50"/>
      <c r="H33" s="51"/>
      <c r="I33" s="16"/>
      <c r="J33" s="16"/>
    </row>
    <row r="34" spans="1:10" x14ac:dyDescent="0.25">
      <c r="B34" s="4"/>
      <c r="C34" s="4"/>
    </row>
    <row r="35" spans="1:10" x14ac:dyDescent="0.25">
      <c r="B35" s="4"/>
      <c r="C35" s="4"/>
    </row>
    <row r="36" spans="1:10" x14ac:dyDescent="0.25">
      <c r="B36" s="4"/>
      <c r="C36" s="4"/>
    </row>
    <row r="37" spans="1:10" x14ac:dyDescent="0.25">
      <c r="B37" s="4"/>
      <c r="C37" s="4"/>
    </row>
    <row r="38" spans="1:10" x14ac:dyDescent="0.25">
      <c r="B38" s="4"/>
      <c r="C38" s="4"/>
    </row>
    <row r="39" spans="1:10" x14ac:dyDescent="0.25">
      <c r="B39" s="4"/>
      <c r="C39" s="4"/>
    </row>
    <row r="40" spans="1:10" x14ac:dyDescent="0.25">
      <c r="B40" s="4"/>
      <c r="C40" s="4"/>
    </row>
    <row r="41" spans="1:10" x14ac:dyDescent="0.25">
      <c r="B41" s="4"/>
      <c r="C41" s="4"/>
    </row>
    <row r="42" spans="1:10" x14ac:dyDescent="0.25">
      <c r="B42" s="4"/>
      <c r="C42" s="4"/>
      <c r="D42" s="2"/>
      <c r="E42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0"/>
  <sheetViews>
    <sheetView showGridLines="0" workbookViewId="0"/>
  </sheetViews>
  <sheetFormatPr defaultRowHeight="15" x14ac:dyDescent="0.25"/>
  <cols>
    <col min="1" max="1" width="27" customWidth="1"/>
    <col min="2" max="2" width="20" customWidth="1"/>
    <col min="3" max="3" width="32" customWidth="1"/>
    <col min="4" max="4" width="30" customWidth="1"/>
    <col min="5" max="5" width="20" customWidth="1"/>
    <col min="6" max="6" width="32" customWidth="1"/>
    <col min="7" max="7" width="8" customWidth="1"/>
    <col min="8" max="8" width="32" customWidth="1"/>
    <col min="9" max="9" width="30" customWidth="1"/>
  </cols>
  <sheetData>
    <row r="1" spans="1:9" x14ac:dyDescent="0.25">
      <c r="A1" s="13" t="s">
        <v>40</v>
      </c>
      <c r="B1" s="14"/>
      <c r="C1" s="14"/>
      <c r="D1" s="14"/>
      <c r="F1" s="15" t="s">
        <v>41</v>
      </c>
      <c r="G1" s="14"/>
      <c r="H1" s="14"/>
      <c r="I1" s="14"/>
    </row>
    <row r="2" spans="1:9" x14ac:dyDescent="0.25">
      <c r="A2" s="5" t="s">
        <v>42</v>
      </c>
      <c r="F2" s="5" t="s">
        <v>42</v>
      </c>
    </row>
    <row r="3" spans="1:9" x14ac:dyDescent="0.25">
      <c r="A3" s="5" t="s">
        <v>43</v>
      </c>
      <c r="B3" s="5" t="s">
        <v>44</v>
      </c>
      <c r="C3" s="8" t="s">
        <v>45</v>
      </c>
      <c r="D3" s="8" t="s">
        <v>46</v>
      </c>
      <c r="F3" s="5" t="s">
        <v>43</v>
      </c>
      <c r="G3" s="5" t="s">
        <v>44</v>
      </c>
      <c r="H3" s="9" t="s">
        <v>45</v>
      </c>
      <c r="I3" s="9" t="s">
        <v>46</v>
      </c>
    </row>
    <row r="4" spans="1:9" x14ac:dyDescent="0.25">
      <c r="A4">
        <v>25</v>
      </c>
      <c r="B4" t="s">
        <v>47</v>
      </c>
      <c r="C4" s="1">
        <v>55</v>
      </c>
      <c r="D4" s="1">
        <v>60</v>
      </c>
      <c r="F4">
        <v>25</v>
      </c>
      <c r="G4" t="s">
        <v>47</v>
      </c>
      <c r="H4" s="1">
        <v>75</v>
      </c>
      <c r="I4" s="1">
        <v>80</v>
      </c>
    </row>
    <row r="5" spans="1:9" x14ac:dyDescent="0.25">
      <c r="A5">
        <v>50</v>
      </c>
      <c r="B5" t="s">
        <v>48</v>
      </c>
      <c r="C5" s="1">
        <v>85</v>
      </c>
      <c r="D5" s="1">
        <v>90</v>
      </c>
      <c r="F5">
        <v>50</v>
      </c>
      <c r="G5" t="s">
        <v>48</v>
      </c>
      <c r="H5" s="1">
        <v>110</v>
      </c>
      <c r="I5" s="1">
        <v>115</v>
      </c>
    </row>
    <row r="6" spans="1:9" x14ac:dyDescent="0.25">
      <c r="A6">
        <v>100</v>
      </c>
      <c r="B6" t="s">
        <v>49</v>
      </c>
      <c r="C6" s="1">
        <v>135</v>
      </c>
      <c r="D6" s="1">
        <v>140</v>
      </c>
      <c r="F6">
        <v>100</v>
      </c>
      <c r="G6" t="s">
        <v>49</v>
      </c>
      <c r="H6" s="1">
        <v>175</v>
      </c>
      <c r="I6" s="1">
        <v>180</v>
      </c>
    </row>
    <row r="7" spans="1:9" x14ac:dyDescent="0.25">
      <c r="A7">
        <v>150</v>
      </c>
      <c r="B7" t="s">
        <v>50</v>
      </c>
      <c r="C7" s="1">
        <v>180</v>
      </c>
      <c r="D7" s="1">
        <v>190</v>
      </c>
      <c r="F7">
        <v>150</v>
      </c>
      <c r="G7" t="s">
        <v>50</v>
      </c>
      <c r="H7" s="1">
        <v>240</v>
      </c>
      <c r="I7" s="1">
        <v>250</v>
      </c>
    </row>
    <row r="8" spans="1:9" x14ac:dyDescent="0.25">
      <c r="A8">
        <v>200</v>
      </c>
      <c r="B8" t="s">
        <v>51</v>
      </c>
      <c r="C8" s="1">
        <v>225</v>
      </c>
      <c r="D8" s="1">
        <v>230</v>
      </c>
      <c r="F8">
        <v>200</v>
      </c>
      <c r="G8" t="s">
        <v>51</v>
      </c>
      <c r="H8" s="1">
        <v>300</v>
      </c>
      <c r="I8" s="1">
        <v>310</v>
      </c>
    </row>
    <row r="9" spans="1:9" x14ac:dyDescent="0.25">
      <c r="A9">
        <v>300</v>
      </c>
      <c r="B9" t="s">
        <v>52</v>
      </c>
      <c r="C9" s="1">
        <v>310</v>
      </c>
      <c r="F9">
        <v>300</v>
      </c>
      <c r="G9" t="s">
        <v>52</v>
      </c>
      <c r="I9" s="1">
        <v>420</v>
      </c>
    </row>
    <row r="11" spans="1:9" x14ac:dyDescent="0.25">
      <c r="A11" s="5" t="s">
        <v>53</v>
      </c>
      <c r="F11" s="5" t="s">
        <v>53</v>
      </c>
    </row>
    <row r="12" spans="1:9" x14ac:dyDescent="0.25">
      <c r="A12" s="5" t="s">
        <v>43</v>
      </c>
      <c r="B12" s="5" t="s">
        <v>44</v>
      </c>
      <c r="C12" s="8" t="s">
        <v>45</v>
      </c>
      <c r="D12" s="8" t="s">
        <v>46</v>
      </c>
      <c r="F12" s="5" t="s">
        <v>43</v>
      </c>
      <c r="G12" s="5" t="s">
        <v>44</v>
      </c>
      <c r="H12" s="9" t="s">
        <v>45</v>
      </c>
      <c r="I12" s="9" t="s">
        <v>46</v>
      </c>
    </row>
    <row r="13" spans="1:9" x14ac:dyDescent="0.25">
      <c r="A13">
        <v>25</v>
      </c>
      <c r="B13" t="s">
        <v>47</v>
      </c>
      <c r="C13" s="1">
        <v>45</v>
      </c>
      <c r="D13" s="1">
        <v>50</v>
      </c>
      <c r="F13">
        <v>25</v>
      </c>
      <c r="G13" t="s">
        <v>47</v>
      </c>
      <c r="H13" s="1">
        <v>65</v>
      </c>
      <c r="I13" s="1">
        <v>70</v>
      </c>
    </row>
    <row r="14" spans="1:9" x14ac:dyDescent="0.25">
      <c r="A14">
        <v>50</v>
      </c>
      <c r="B14" t="s">
        <v>48</v>
      </c>
      <c r="C14" s="1">
        <v>70</v>
      </c>
      <c r="D14" s="1">
        <v>75</v>
      </c>
      <c r="F14">
        <v>50</v>
      </c>
      <c r="G14" t="s">
        <v>48</v>
      </c>
      <c r="H14" s="1">
        <v>95</v>
      </c>
      <c r="I14" s="1">
        <v>100</v>
      </c>
    </row>
    <row r="15" spans="1:9" x14ac:dyDescent="0.25">
      <c r="A15">
        <v>100</v>
      </c>
      <c r="B15" t="s">
        <v>49</v>
      </c>
      <c r="C15" s="1">
        <v>115</v>
      </c>
      <c r="D15" s="1">
        <v>120</v>
      </c>
      <c r="F15">
        <v>100</v>
      </c>
      <c r="G15" t="s">
        <v>49</v>
      </c>
      <c r="H15" s="1">
        <v>155</v>
      </c>
      <c r="I15" s="1">
        <v>160</v>
      </c>
    </row>
    <row r="16" spans="1:9" x14ac:dyDescent="0.25">
      <c r="A16">
        <v>150</v>
      </c>
      <c r="B16" t="s">
        <v>50</v>
      </c>
      <c r="C16" s="1">
        <v>155</v>
      </c>
      <c r="D16" s="1">
        <v>160</v>
      </c>
      <c r="F16">
        <v>150</v>
      </c>
      <c r="G16" t="s">
        <v>50</v>
      </c>
      <c r="H16" s="1">
        <v>210</v>
      </c>
      <c r="I16" s="1">
        <v>220</v>
      </c>
    </row>
    <row r="17" spans="1:9" x14ac:dyDescent="0.25">
      <c r="A17">
        <v>200</v>
      </c>
      <c r="B17" t="s">
        <v>51</v>
      </c>
      <c r="C17" s="1">
        <v>195</v>
      </c>
      <c r="D17" s="1">
        <v>200</v>
      </c>
      <c r="F17">
        <v>200</v>
      </c>
      <c r="G17" t="s">
        <v>51</v>
      </c>
      <c r="H17" s="1">
        <v>265</v>
      </c>
      <c r="I17" s="1">
        <v>275</v>
      </c>
    </row>
    <row r="18" spans="1:9" x14ac:dyDescent="0.25">
      <c r="A18">
        <v>300</v>
      </c>
      <c r="B18" t="s">
        <v>52</v>
      </c>
      <c r="C18" s="1">
        <v>270</v>
      </c>
      <c r="F18">
        <v>300</v>
      </c>
      <c r="G18" t="s">
        <v>52</v>
      </c>
      <c r="I18" s="1">
        <v>380</v>
      </c>
    </row>
    <row r="22" spans="1:9" x14ac:dyDescent="0.25">
      <c r="B22" s="6" t="s">
        <v>54</v>
      </c>
      <c r="C22" s="6" t="s">
        <v>55</v>
      </c>
      <c r="E22" s="6" t="s">
        <v>54</v>
      </c>
      <c r="F22" s="6" t="s">
        <v>56</v>
      </c>
    </row>
    <row r="23" spans="1:9" x14ac:dyDescent="0.25">
      <c r="C23" s="10" t="s">
        <v>57</v>
      </c>
      <c r="F23" s="10" t="s">
        <v>57</v>
      </c>
    </row>
    <row r="24" spans="1:9" x14ac:dyDescent="0.25">
      <c r="B24" t="s">
        <v>47</v>
      </c>
      <c r="C24" s="1">
        <f>AVERAGE(C4,D4)/25</f>
        <v>2.2999999999999998</v>
      </c>
      <c r="E24" t="s">
        <v>47</v>
      </c>
      <c r="F24" s="1">
        <f>AVERAGE(C13,D13)/25</f>
        <v>1.9</v>
      </c>
    </row>
    <row r="25" spans="1:9" x14ac:dyDescent="0.25">
      <c r="B25" t="s">
        <v>48</v>
      </c>
      <c r="C25" s="1">
        <f>AVERAGE(C5,D5)/50</f>
        <v>1.75</v>
      </c>
      <c r="E25" t="s">
        <v>48</v>
      </c>
      <c r="F25" s="1">
        <f>AVERAGE(C14,D14)/50</f>
        <v>1.45</v>
      </c>
    </row>
    <row r="26" spans="1:9" x14ac:dyDescent="0.25">
      <c r="B26" t="s">
        <v>49</v>
      </c>
      <c r="C26" s="1">
        <f>AVERAGE(C6,D6)/100</f>
        <v>1.375</v>
      </c>
      <c r="E26" t="s">
        <v>49</v>
      </c>
      <c r="F26" s="1">
        <f>AVERAGE(C15,D15)/100</f>
        <v>1.175</v>
      </c>
    </row>
    <row r="27" spans="1:9" x14ac:dyDescent="0.25">
      <c r="B27" t="s">
        <v>50</v>
      </c>
      <c r="C27" s="1">
        <f>AVERAGE(C7,D7)/150</f>
        <v>1.2333333333333334</v>
      </c>
      <c r="E27" t="s">
        <v>50</v>
      </c>
      <c r="F27" s="1">
        <f>AVERAGE(C16,D16)/150</f>
        <v>1.05</v>
      </c>
    </row>
    <row r="28" spans="1:9" x14ac:dyDescent="0.25">
      <c r="B28" t="s">
        <v>51</v>
      </c>
      <c r="C28" s="1">
        <f>AVERAGE(C8,D8)/200</f>
        <v>1.1375</v>
      </c>
      <c r="E28" t="s">
        <v>51</v>
      </c>
      <c r="F28" s="1">
        <f>AVERAGE(C17,D17)/200</f>
        <v>0.98750000000000004</v>
      </c>
    </row>
    <row r="29" spans="1:9" x14ac:dyDescent="0.25">
      <c r="B29" t="s">
        <v>52</v>
      </c>
      <c r="C29" s="1">
        <f>AVERAGE(C9)/300</f>
        <v>1.0333333333333334</v>
      </c>
      <c r="E29" t="s">
        <v>52</v>
      </c>
      <c r="F29" s="1">
        <f>AVERAGE(C18)/300</f>
        <v>0.9</v>
      </c>
    </row>
    <row r="30" spans="1:9" x14ac:dyDescent="0.25">
      <c r="B30" s="5" t="s">
        <v>58</v>
      </c>
      <c r="C30" s="11">
        <f>C24*0.12+ C25*0.25+ C26*0.3+ C27*0.15+ C28*0.12+ C29*0.06</f>
        <v>1.5095000000000001</v>
      </c>
      <c r="E30" s="5" t="s">
        <v>58</v>
      </c>
      <c r="F30" s="11">
        <f>F24*0.12+ F25*0.25+ F26*0.3+ F27*0.15+ F28*0.12+ F29*0.06</f>
        <v>1.2730000000000001</v>
      </c>
    </row>
    <row r="32" spans="1:9" x14ac:dyDescent="0.25">
      <c r="B32" s="7" t="s">
        <v>59</v>
      </c>
      <c r="C32" s="7" t="s">
        <v>55</v>
      </c>
      <c r="E32" s="7" t="s">
        <v>59</v>
      </c>
      <c r="F32" s="7" t="s">
        <v>56</v>
      </c>
    </row>
    <row r="33" spans="2:6" x14ac:dyDescent="0.25">
      <c r="C33" s="10" t="s">
        <v>57</v>
      </c>
      <c r="F33" s="10" t="s">
        <v>57</v>
      </c>
    </row>
    <row r="34" spans="2:6" x14ac:dyDescent="0.25">
      <c r="B34" t="s">
        <v>47</v>
      </c>
      <c r="C34" s="1">
        <f>AVERAGE(H4,I4)/25</f>
        <v>3.1</v>
      </c>
      <c r="E34" t="s">
        <v>47</v>
      </c>
      <c r="F34" s="1">
        <f>AVERAGE(H13,I13)/25</f>
        <v>2.7</v>
      </c>
    </row>
    <row r="35" spans="2:6" x14ac:dyDescent="0.25">
      <c r="B35" t="s">
        <v>48</v>
      </c>
      <c r="C35" s="1">
        <f>AVERAGE(H5,I5)/50</f>
        <v>2.25</v>
      </c>
      <c r="E35" t="s">
        <v>48</v>
      </c>
      <c r="F35" s="1">
        <f>AVERAGE(H14,I14)/50</f>
        <v>1.95</v>
      </c>
    </row>
    <row r="36" spans="2:6" x14ac:dyDescent="0.25">
      <c r="B36" t="s">
        <v>49</v>
      </c>
      <c r="C36" s="1">
        <f>AVERAGE(H6,I6)/100</f>
        <v>1.7749999999999999</v>
      </c>
      <c r="E36" t="s">
        <v>49</v>
      </c>
      <c r="F36" s="1">
        <f>AVERAGE(H15,I15)/100</f>
        <v>1.575</v>
      </c>
    </row>
    <row r="37" spans="2:6" x14ac:dyDescent="0.25">
      <c r="B37" t="s">
        <v>50</v>
      </c>
      <c r="C37" s="1">
        <f>AVERAGE(H7,I7)/150</f>
        <v>1.6333333333333333</v>
      </c>
      <c r="E37" t="s">
        <v>50</v>
      </c>
      <c r="F37" s="1">
        <f>AVERAGE(H16,I16)/150</f>
        <v>1.4333333333333333</v>
      </c>
    </row>
    <row r="38" spans="2:6" x14ac:dyDescent="0.25">
      <c r="B38" t="s">
        <v>51</v>
      </c>
      <c r="C38" s="1">
        <f>AVERAGE(H8,I8)/200</f>
        <v>1.5249999999999999</v>
      </c>
      <c r="E38" t="s">
        <v>51</v>
      </c>
      <c r="F38" s="1">
        <f>AVERAGE(H17,I17)/200</f>
        <v>1.35</v>
      </c>
    </row>
    <row r="39" spans="2:6" x14ac:dyDescent="0.25">
      <c r="B39" t="s">
        <v>52</v>
      </c>
      <c r="C39" s="1">
        <f>AVERAGE(I9)/300</f>
        <v>1.4</v>
      </c>
      <c r="E39" t="s">
        <v>52</v>
      </c>
      <c r="F39" s="1">
        <f>AVERAGE(I18)/300</f>
        <v>1.2666666666666666</v>
      </c>
    </row>
    <row r="40" spans="2:6" x14ac:dyDescent="0.25">
      <c r="B40" s="5" t="s">
        <v>58</v>
      </c>
      <c r="C40" s="11">
        <f>C34*0.12+ C35*0.25+ C36*0.3+ C37*0.15+ C38*0.12+ C39*0.06</f>
        <v>1.9790000000000003</v>
      </c>
      <c r="E40" s="5" t="s">
        <v>58</v>
      </c>
      <c r="F40" s="11">
        <f>F34*0.12+ F35*0.25+ F36*0.3+ F37*0.15+ F38*0.12+ F39*0.06</f>
        <v>1.7370000000000001</v>
      </c>
    </row>
  </sheetData>
  <mergeCells count="2">
    <mergeCell ref="A1:D1"/>
    <mergeCell ref="F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"/>
  <sheetViews>
    <sheetView showGridLines="0" workbookViewId="0"/>
  </sheetViews>
  <sheetFormatPr defaultRowHeight="15" x14ac:dyDescent="0.25"/>
  <cols>
    <col min="1" max="1" width="23" customWidth="1"/>
    <col min="2" max="2" width="32" customWidth="1"/>
    <col min="3" max="3" width="15" customWidth="1"/>
    <col min="4" max="4" width="18" customWidth="1"/>
    <col min="5" max="5" width="16" customWidth="1"/>
    <col min="6" max="6" width="33" customWidth="1"/>
  </cols>
  <sheetData>
    <row r="1" spans="1:6" x14ac:dyDescent="0.25">
      <c r="A1" s="6" t="s">
        <v>60</v>
      </c>
      <c r="B1" s="6" t="s">
        <v>61</v>
      </c>
      <c r="C1" s="6" t="s">
        <v>62</v>
      </c>
      <c r="D1" s="6" t="s">
        <v>63</v>
      </c>
      <c r="E1" s="6" t="s">
        <v>64</v>
      </c>
      <c r="F1" s="6" t="s">
        <v>65</v>
      </c>
    </row>
    <row r="2" spans="1:6" ht="15.75" x14ac:dyDescent="0.25">
      <c r="A2" t="s">
        <v>66</v>
      </c>
      <c r="B2" t="s">
        <v>67</v>
      </c>
      <c r="C2">
        <v>1.2</v>
      </c>
      <c r="D2">
        <v>4</v>
      </c>
      <c r="E2" t="s">
        <v>68</v>
      </c>
      <c r="F2" s="12" t="s">
        <v>69</v>
      </c>
    </row>
    <row r="3" spans="1:6" ht="15.75" x14ac:dyDescent="0.25">
      <c r="A3" t="s">
        <v>70</v>
      </c>
      <c r="B3" t="s">
        <v>71</v>
      </c>
      <c r="C3">
        <v>2.5</v>
      </c>
      <c r="D3">
        <v>7</v>
      </c>
      <c r="E3" t="s">
        <v>72</v>
      </c>
      <c r="F3" s="12" t="s">
        <v>73</v>
      </c>
    </row>
  </sheetData>
  <hyperlinks>
    <hyperlink ref="F2" r:id="rId1" xr:uid="{00000000-0004-0000-0200-000000000000}"/>
    <hyperlink ref="F3" r:id="rId2" xr:uid="{00000000-0004-0000-0200-000001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Proforma</vt:lpstr>
      <vt:lpstr>Market Comps</vt:lpstr>
      <vt:lpstr>Facility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Bryant Jones</dc:creator>
  <cp:lastModifiedBy>Bryant Jones</cp:lastModifiedBy>
  <dcterms:created xsi:type="dcterms:W3CDTF">2026-04-01T01:44:39Z</dcterms:created>
  <dcterms:modified xsi:type="dcterms:W3CDTF">2026-04-17T19:35:51Z</dcterms:modified>
</cp:coreProperties>
</file>